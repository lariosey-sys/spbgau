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ДИСК Д\АСПИРАНТУРА\ДОКТОРСКАЯ\2026\"/>
    </mc:Choice>
  </mc:AlternateContent>
  <xr:revisionPtr revIDLastSave="0" documentId="13_ncr:1_{43567351-8A34-4425-9A3E-2EA909CF5C0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хлорофиллметр" sheetId="2" r:id="rId1"/>
    <sheet name="пит р-р+ээ" sheetId="6" r:id="rId2"/>
    <sheet name="фенология" sheetId="7" r:id="rId3"/>
    <sheet name="биометрия" sheetId="8" r:id="rId4"/>
    <sheet name="биохимия" sheetId="9" r:id="rId5"/>
    <sheet name="асс пл" sheetId="1" r:id="rId6"/>
    <sheet name="сух в-во" sheetId="4" r:id="rId7"/>
    <sheet name="водный деф" sheetId="3" r:id="rId8"/>
    <sheet name="водоудерж способ" sheetId="5" r:id="rId9"/>
    <sheet name="хранение" sheetId="18" r:id="rId10"/>
    <sheet name="органолептика" sheetId="16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9" l="1"/>
  <c r="Z31" i="9"/>
  <c r="Z30" i="9"/>
  <c r="Z29" i="9"/>
  <c r="Z28" i="9"/>
  <c r="Z27" i="9"/>
  <c r="Z26" i="9"/>
  <c r="Z25" i="9"/>
  <c r="Z24" i="9"/>
  <c r="Z23" i="9"/>
  <c r="Z22" i="9"/>
  <c r="Z21" i="9"/>
  <c r="Z20" i="9"/>
  <c r="Z19" i="9"/>
  <c r="Z18" i="9"/>
  <c r="Z17" i="9"/>
  <c r="Z16" i="9"/>
  <c r="Z15" i="9"/>
  <c r="Z14" i="9"/>
  <c r="Z13" i="9"/>
  <c r="Z12" i="9"/>
  <c r="Z11" i="9"/>
  <c r="Z10" i="9"/>
  <c r="Z9" i="9"/>
  <c r="Z8" i="9"/>
  <c r="Z7" i="9"/>
  <c r="Z6" i="9"/>
  <c r="Z5" i="9"/>
  <c r="Z4" i="9"/>
  <c r="Z3" i="9"/>
  <c r="Z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2" i="9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2" i="18"/>
  <c r="AG31" i="9"/>
  <c r="AG30" i="9"/>
  <c r="AG29" i="9"/>
  <c r="AG27" i="9"/>
  <c r="AG26" i="9"/>
  <c r="AG25" i="9"/>
  <c r="AG24" i="9"/>
  <c r="AG23" i="9"/>
  <c r="AG22" i="9"/>
  <c r="AG21" i="9"/>
  <c r="AG20" i="9"/>
  <c r="AG19" i="9"/>
  <c r="AG18" i="9"/>
  <c r="AG17" i="9"/>
  <c r="AG16" i="9"/>
  <c r="AG15" i="9"/>
  <c r="AG14" i="9"/>
  <c r="AG13" i="9"/>
  <c r="AG12" i="9"/>
  <c r="AG9" i="9"/>
  <c r="AG8" i="9"/>
  <c r="AG6" i="9"/>
  <c r="AG5" i="9"/>
  <c r="AG4" i="9"/>
  <c r="W31" i="9"/>
  <c r="AA31" i="9" s="1"/>
  <c r="V31" i="9"/>
  <c r="Y31" i="9" s="1"/>
  <c r="U31" i="9"/>
  <c r="X31" i="9" s="1"/>
  <c r="J31" i="9"/>
  <c r="N31" i="9" s="1"/>
  <c r="I31" i="9"/>
  <c r="L31" i="9" s="1"/>
  <c r="H31" i="9"/>
  <c r="K31" i="9" s="1"/>
  <c r="W30" i="9"/>
  <c r="AA30" i="9" s="1"/>
  <c r="V30" i="9"/>
  <c r="Y30" i="9" s="1"/>
  <c r="U30" i="9"/>
  <c r="X30" i="9" s="1"/>
  <c r="J30" i="9"/>
  <c r="N30" i="9" s="1"/>
  <c r="I30" i="9"/>
  <c r="L30" i="9" s="1"/>
  <c r="H30" i="9"/>
  <c r="K30" i="9" s="1"/>
  <c r="W29" i="9"/>
  <c r="AA29" i="9" s="1"/>
  <c r="V29" i="9"/>
  <c r="Y29" i="9" s="1"/>
  <c r="U29" i="9"/>
  <c r="X29" i="9" s="1"/>
  <c r="J29" i="9"/>
  <c r="N29" i="9" s="1"/>
  <c r="I29" i="9"/>
  <c r="L29" i="9" s="1"/>
  <c r="H29" i="9"/>
  <c r="K29" i="9" s="1"/>
  <c r="W28" i="9"/>
  <c r="AA28" i="9" s="1"/>
  <c r="V28" i="9"/>
  <c r="Y28" i="9" s="1"/>
  <c r="U28" i="9"/>
  <c r="X28" i="9" s="1"/>
  <c r="J28" i="9"/>
  <c r="N28" i="9" s="1"/>
  <c r="I28" i="9"/>
  <c r="L28" i="9" s="1"/>
  <c r="H28" i="9"/>
  <c r="K28" i="9" s="1"/>
  <c r="W27" i="9"/>
  <c r="AA27" i="9" s="1"/>
  <c r="V27" i="9"/>
  <c r="Y27" i="9" s="1"/>
  <c r="U27" i="9"/>
  <c r="X27" i="9" s="1"/>
  <c r="J27" i="9"/>
  <c r="N27" i="9" s="1"/>
  <c r="I27" i="9"/>
  <c r="L27" i="9" s="1"/>
  <c r="H27" i="9"/>
  <c r="K27" i="9" s="1"/>
  <c r="W26" i="9"/>
  <c r="AA26" i="9" s="1"/>
  <c r="V26" i="9"/>
  <c r="Y26" i="9" s="1"/>
  <c r="U26" i="9"/>
  <c r="X26" i="9" s="1"/>
  <c r="J26" i="9"/>
  <c r="N26" i="9" s="1"/>
  <c r="I26" i="9"/>
  <c r="L26" i="9" s="1"/>
  <c r="H26" i="9"/>
  <c r="K26" i="9" s="1"/>
  <c r="W25" i="9"/>
  <c r="AA25" i="9" s="1"/>
  <c r="V25" i="9"/>
  <c r="Y25" i="9" s="1"/>
  <c r="U25" i="9"/>
  <c r="X25" i="9" s="1"/>
  <c r="J25" i="9"/>
  <c r="N25" i="9" s="1"/>
  <c r="I25" i="9"/>
  <c r="L25" i="9" s="1"/>
  <c r="H25" i="9"/>
  <c r="K25" i="9" s="1"/>
  <c r="W24" i="9"/>
  <c r="AA24" i="9" s="1"/>
  <c r="V24" i="9"/>
  <c r="Y24" i="9" s="1"/>
  <c r="U24" i="9"/>
  <c r="X24" i="9" s="1"/>
  <c r="J24" i="9"/>
  <c r="N24" i="9" s="1"/>
  <c r="I24" i="9"/>
  <c r="L24" i="9" s="1"/>
  <c r="H24" i="9"/>
  <c r="K24" i="9" s="1"/>
  <c r="W23" i="9"/>
  <c r="AA23" i="9" s="1"/>
  <c r="V23" i="9"/>
  <c r="Y23" i="9" s="1"/>
  <c r="U23" i="9"/>
  <c r="X23" i="9" s="1"/>
  <c r="J23" i="9"/>
  <c r="N23" i="9" s="1"/>
  <c r="I23" i="9"/>
  <c r="L23" i="9" s="1"/>
  <c r="H23" i="9"/>
  <c r="K23" i="9" s="1"/>
  <c r="W22" i="9"/>
  <c r="AA22" i="9" s="1"/>
  <c r="V22" i="9"/>
  <c r="Y22" i="9" s="1"/>
  <c r="U22" i="9"/>
  <c r="X22" i="9" s="1"/>
  <c r="J22" i="9"/>
  <c r="N22" i="9" s="1"/>
  <c r="I22" i="9"/>
  <c r="L22" i="9" s="1"/>
  <c r="H22" i="9"/>
  <c r="K22" i="9" s="1"/>
  <c r="W21" i="9"/>
  <c r="AA21" i="9" s="1"/>
  <c r="V21" i="9"/>
  <c r="Y21" i="9" s="1"/>
  <c r="U21" i="9"/>
  <c r="X21" i="9" s="1"/>
  <c r="J21" i="9"/>
  <c r="N21" i="9" s="1"/>
  <c r="I21" i="9"/>
  <c r="L21" i="9" s="1"/>
  <c r="H21" i="9"/>
  <c r="K21" i="9" s="1"/>
  <c r="W20" i="9"/>
  <c r="AA20" i="9" s="1"/>
  <c r="V20" i="9"/>
  <c r="Y20" i="9" s="1"/>
  <c r="U20" i="9"/>
  <c r="X20" i="9" s="1"/>
  <c r="J20" i="9"/>
  <c r="N20" i="9" s="1"/>
  <c r="I20" i="9"/>
  <c r="L20" i="9" s="1"/>
  <c r="H20" i="9"/>
  <c r="K20" i="9" s="1"/>
  <c r="W19" i="9"/>
  <c r="AA19" i="9" s="1"/>
  <c r="V19" i="9"/>
  <c r="Y19" i="9" s="1"/>
  <c r="U19" i="9"/>
  <c r="X19" i="9" s="1"/>
  <c r="J19" i="9"/>
  <c r="N19" i="9" s="1"/>
  <c r="I19" i="9"/>
  <c r="L19" i="9" s="1"/>
  <c r="H19" i="9"/>
  <c r="K19" i="9" s="1"/>
  <c r="W18" i="9"/>
  <c r="AA18" i="9" s="1"/>
  <c r="V18" i="9"/>
  <c r="Y18" i="9" s="1"/>
  <c r="U18" i="9"/>
  <c r="X18" i="9" s="1"/>
  <c r="J18" i="9"/>
  <c r="N18" i="9" s="1"/>
  <c r="I18" i="9"/>
  <c r="L18" i="9" s="1"/>
  <c r="H18" i="9"/>
  <c r="K18" i="9" s="1"/>
  <c r="W17" i="9"/>
  <c r="AA17" i="9" s="1"/>
  <c r="V17" i="9"/>
  <c r="Y17" i="9" s="1"/>
  <c r="U17" i="9"/>
  <c r="X17" i="9" s="1"/>
  <c r="J17" i="9"/>
  <c r="N17" i="9" s="1"/>
  <c r="I17" i="9"/>
  <c r="L17" i="9" s="1"/>
  <c r="H17" i="9"/>
  <c r="K17" i="9" s="1"/>
  <c r="W16" i="9"/>
  <c r="AA16" i="9" s="1"/>
  <c r="V16" i="9"/>
  <c r="Y16" i="9" s="1"/>
  <c r="U16" i="9"/>
  <c r="X16" i="9" s="1"/>
  <c r="J16" i="9"/>
  <c r="N16" i="9" s="1"/>
  <c r="I16" i="9"/>
  <c r="L16" i="9" s="1"/>
  <c r="H16" i="9"/>
  <c r="K16" i="9" s="1"/>
  <c r="W15" i="9"/>
  <c r="AA15" i="9" s="1"/>
  <c r="V15" i="9"/>
  <c r="Y15" i="9" s="1"/>
  <c r="U15" i="9"/>
  <c r="X15" i="9" s="1"/>
  <c r="J15" i="9"/>
  <c r="N15" i="9" s="1"/>
  <c r="I15" i="9"/>
  <c r="L15" i="9" s="1"/>
  <c r="H15" i="9"/>
  <c r="K15" i="9" s="1"/>
  <c r="W14" i="9"/>
  <c r="AA14" i="9" s="1"/>
  <c r="V14" i="9"/>
  <c r="Y14" i="9" s="1"/>
  <c r="U14" i="9"/>
  <c r="X14" i="9" s="1"/>
  <c r="J14" i="9"/>
  <c r="N14" i="9" s="1"/>
  <c r="I14" i="9"/>
  <c r="L14" i="9" s="1"/>
  <c r="H14" i="9"/>
  <c r="K14" i="9" s="1"/>
  <c r="W13" i="9"/>
  <c r="AA13" i="9" s="1"/>
  <c r="V13" i="9"/>
  <c r="Y13" i="9" s="1"/>
  <c r="U13" i="9"/>
  <c r="X13" i="9" s="1"/>
  <c r="J13" i="9"/>
  <c r="N13" i="9" s="1"/>
  <c r="I13" i="9"/>
  <c r="L13" i="9" s="1"/>
  <c r="H13" i="9"/>
  <c r="K13" i="9" s="1"/>
  <c r="W12" i="9"/>
  <c r="AA12" i="9" s="1"/>
  <c r="V12" i="9"/>
  <c r="Y12" i="9" s="1"/>
  <c r="U12" i="9"/>
  <c r="X12" i="9" s="1"/>
  <c r="J12" i="9"/>
  <c r="N12" i="9" s="1"/>
  <c r="I12" i="9"/>
  <c r="L12" i="9" s="1"/>
  <c r="H12" i="9"/>
  <c r="K12" i="9" s="1"/>
  <c r="W11" i="9"/>
  <c r="AA11" i="9" s="1"/>
  <c r="V11" i="9"/>
  <c r="Y11" i="9" s="1"/>
  <c r="U11" i="9"/>
  <c r="X11" i="9" s="1"/>
  <c r="J11" i="9"/>
  <c r="N11" i="9" s="1"/>
  <c r="I11" i="9"/>
  <c r="L11" i="9" s="1"/>
  <c r="H11" i="9"/>
  <c r="K11" i="9" s="1"/>
  <c r="W10" i="9"/>
  <c r="AA10" i="9" s="1"/>
  <c r="V10" i="9"/>
  <c r="Y10" i="9" s="1"/>
  <c r="U10" i="9"/>
  <c r="X10" i="9" s="1"/>
  <c r="J10" i="9"/>
  <c r="N10" i="9" s="1"/>
  <c r="I10" i="9"/>
  <c r="L10" i="9" s="1"/>
  <c r="H10" i="9"/>
  <c r="K10" i="9" s="1"/>
  <c r="W9" i="9"/>
  <c r="AA9" i="9" s="1"/>
  <c r="V9" i="9"/>
  <c r="Y9" i="9" s="1"/>
  <c r="U9" i="9"/>
  <c r="X9" i="9" s="1"/>
  <c r="J9" i="9"/>
  <c r="N9" i="9" s="1"/>
  <c r="I9" i="9"/>
  <c r="L9" i="9" s="1"/>
  <c r="H9" i="9"/>
  <c r="K9" i="9" s="1"/>
  <c r="W8" i="9"/>
  <c r="AA8" i="9" s="1"/>
  <c r="V8" i="9"/>
  <c r="Y8" i="9" s="1"/>
  <c r="U8" i="9"/>
  <c r="X8" i="9" s="1"/>
  <c r="J8" i="9"/>
  <c r="N8" i="9" s="1"/>
  <c r="I8" i="9"/>
  <c r="L8" i="9" s="1"/>
  <c r="H8" i="9"/>
  <c r="K8" i="9" s="1"/>
  <c r="W7" i="9"/>
  <c r="AA7" i="9" s="1"/>
  <c r="V7" i="9"/>
  <c r="Y7" i="9" s="1"/>
  <c r="U7" i="9"/>
  <c r="X7" i="9" s="1"/>
  <c r="J7" i="9"/>
  <c r="N7" i="9" s="1"/>
  <c r="I7" i="9"/>
  <c r="L7" i="9" s="1"/>
  <c r="H7" i="9"/>
  <c r="K7" i="9" s="1"/>
  <c r="W6" i="9"/>
  <c r="AA6" i="9" s="1"/>
  <c r="V6" i="9"/>
  <c r="Y6" i="9" s="1"/>
  <c r="U6" i="9"/>
  <c r="X6" i="9" s="1"/>
  <c r="J6" i="9"/>
  <c r="N6" i="9" s="1"/>
  <c r="I6" i="9"/>
  <c r="L6" i="9" s="1"/>
  <c r="H6" i="9"/>
  <c r="K6" i="9" s="1"/>
  <c r="W5" i="9"/>
  <c r="AA5" i="9" s="1"/>
  <c r="V5" i="9"/>
  <c r="Y5" i="9" s="1"/>
  <c r="U5" i="9"/>
  <c r="X5" i="9" s="1"/>
  <c r="J5" i="9"/>
  <c r="N5" i="9" s="1"/>
  <c r="I5" i="9"/>
  <c r="L5" i="9" s="1"/>
  <c r="H5" i="9"/>
  <c r="K5" i="9" s="1"/>
  <c r="W4" i="9"/>
  <c r="AA4" i="9" s="1"/>
  <c r="V4" i="9"/>
  <c r="Y4" i="9" s="1"/>
  <c r="U4" i="9"/>
  <c r="X4" i="9" s="1"/>
  <c r="J4" i="9"/>
  <c r="N4" i="9" s="1"/>
  <c r="I4" i="9"/>
  <c r="L4" i="9" s="1"/>
  <c r="H4" i="9"/>
  <c r="K4" i="9" s="1"/>
  <c r="W3" i="9"/>
  <c r="AA3" i="9" s="1"/>
  <c r="V3" i="9"/>
  <c r="Y3" i="9" s="1"/>
  <c r="U3" i="9"/>
  <c r="X3" i="9" s="1"/>
  <c r="J3" i="9"/>
  <c r="N3" i="9" s="1"/>
  <c r="I3" i="9"/>
  <c r="L3" i="9" s="1"/>
  <c r="H3" i="9"/>
  <c r="K3" i="9" s="1"/>
  <c r="W2" i="9"/>
  <c r="AA2" i="9" s="1"/>
  <c r="V2" i="9"/>
  <c r="Y2" i="9" s="1"/>
  <c r="U2" i="9"/>
  <c r="X2" i="9" s="1"/>
  <c r="J2" i="9"/>
  <c r="N2" i="9" s="1"/>
  <c r="I2" i="9"/>
  <c r="L2" i="9" s="1"/>
  <c r="H2" i="9"/>
  <c r="K2" i="9" s="1"/>
  <c r="AS3" i="8" l="1"/>
  <c r="AS4" i="8"/>
  <c r="AS5" i="8"/>
  <c r="AS6" i="8"/>
  <c r="AS2" i="8"/>
  <c r="L31" i="7"/>
  <c r="K31" i="7"/>
  <c r="F125" i="6"/>
  <c r="B125" i="6"/>
  <c r="A125" i="6" l="1"/>
  <c r="I4" i="3"/>
  <c r="H4" i="3"/>
  <c r="K4" i="3"/>
  <c r="M4" i="3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" i="5"/>
  <c r="N2" i="5"/>
  <c r="AA2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X3" i="5"/>
  <c r="X4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" i="5"/>
  <c r="S3" i="5"/>
  <c r="S4" i="5"/>
  <c r="S5" i="5"/>
  <c r="X5" i="5" s="1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" i="5"/>
  <c r="G2" i="5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X19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20" i="3"/>
  <c r="X21" i="3"/>
  <c r="X22" i="3"/>
  <c r="X23" i="3"/>
  <c r="X24" i="3"/>
  <c r="X25" i="3"/>
  <c r="X26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AA2" i="3"/>
  <c r="Z2" i="3"/>
  <c r="Y2" i="3"/>
  <c r="X2" i="3"/>
  <c r="W2" i="3"/>
  <c r="V2" i="3"/>
  <c r="AB2" i="3"/>
  <c r="Q3" i="4"/>
  <c r="Q4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P3" i="4"/>
  <c r="P4" i="4"/>
  <c r="P5" i="4"/>
  <c r="Q5" i="4" s="1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Q2" i="4"/>
  <c r="P2" i="4"/>
  <c r="F8" i="5"/>
  <c r="M8" i="5" s="1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G17" i="5"/>
  <c r="N17" i="5" s="1"/>
  <c r="G18" i="5"/>
  <c r="N18" i="5" s="1"/>
  <c r="G19" i="5"/>
  <c r="N19" i="5" s="1"/>
  <c r="G20" i="5"/>
  <c r="L20" i="5" s="1"/>
  <c r="G21" i="5"/>
  <c r="N21" i="5" s="1"/>
  <c r="G22" i="5"/>
  <c r="N22" i="5" s="1"/>
  <c r="G23" i="5"/>
  <c r="N23" i="5" s="1"/>
  <c r="G24" i="5"/>
  <c r="L24" i="5" s="1"/>
  <c r="G25" i="5"/>
  <c r="L25" i="5" s="1"/>
  <c r="G26" i="5"/>
  <c r="L26" i="5" s="1"/>
  <c r="G27" i="5"/>
  <c r="N27" i="5" s="1"/>
  <c r="G28" i="5"/>
  <c r="L28" i="5" s="1"/>
  <c r="G29" i="5"/>
  <c r="N29" i="5" s="1"/>
  <c r="G30" i="5"/>
  <c r="L30" i="5" s="1"/>
  <c r="G31" i="5"/>
  <c r="N31" i="5" s="1"/>
  <c r="G32" i="5"/>
  <c r="L32" i="5" s="1"/>
  <c r="G7" i="5"/>
  <c r="L7" i="5" s="1"/>
  <c r="G8" i="5"/>
  <c r="L8" i="5" s="1"/>
  <c r="G9" i="5"/>
  <c r="L9" i="5" s="1"/>
  <c r="G10" i="5"/>
  <c r="G11" i="5"/>
  <c r="G13" i="5"/>
  <c r="L13" i="5" s="1"/>
  <c r="G14" i="5"/>
  <c r="L14" i="5" s="1"/>
  <c r="G15" i="5"/>
  <c r="N15" i="5" s="1"/>
  <c r="G16" i="5"/>
  <c r="L16" i="5" s="1"/>
  <c r="G6" i="5"/>
  <c r="G5" i="5"/>
  <c r="L5" i="5" s="1"/>
  <c r="G4" i="5"/>
  <c r="L4" i="5" s="1"/>
  <c r="G3" i="5"/>
  <c r="L3" i="5" s="1"/>
  <c r="L2" i="5"/>
  <c r="F3" i="5"/>
  <c r="M3" i="5" s="1"/>
  <c r="F4" i="5"/>
  <c r="M4" i="5" s="1"/>
  <c r="F5" i="5"/>
  <c r="M5" i="5" s="1"/>
  <c r="F6" i="5"/>
  <c r="M6" i="5" s="1"/>
  <c r="F7" i="5"/>
  <c r="M7" i="5" s="1"/>
  <c r="F9" i="5"/>
  <c r="M9" i="5" s="1"/>
  <c r="F10" i="5"/>
  <c r="M10" i="5" s="1"/>
  <c r="F11" i="5"/>
  <c r="M11" i="5" s="1"/>
  <c r="F2" i="5"/>
  <c r="M2" i="5" s="1"/>
  <c r="N3" i="3"/>
  <c r="N4" i="3"/>
  <c r="N5" i="3"/>
  <c r="N6" i="3"/>
  <c r="N7" i="3"/>
  <c r="N8" i="3"/>
  <c r="N9" i="3"/>
  <c r="N10" i="3"/>
  <c r="N11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M3" i="3"/>
  <c r="M5" i="3"/>
  <c r="M6" i="3"/>
  <c r="M7" i="3"/>
  <c r="M8" i="3"/>
  <c r="M9" i="3"/>
  <c r="M10" i="3"/>
  <c r="M11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L3" i="3"/>
  <c r="L4" i="3"/>
  <c r="L5" i="3"/>
  <c r="L6" i="3"/>
  <c r="L7" i="3"/>
  <c r="L8" i="3"/>
  <c r="L9" i="3"/>
  <c r="L10" i="3"/>
  <c r="L11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K3" i="3"/>
  <c r="K5" i="3"/>
  <c r="K6" i="3"/>
  <c r="K7" i="3"/>
  <c r="K8" i="3"/>
  <c r="K9" i="3"/>
  <c r="K10" i="3"/>
  <c r="K11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J3" i="3"/>
  <c r="J4" i="3"/>
  <c r="J5" i="3"/>
  <c r="J6" i="3"/>
  <c r="J7" i="3"/>
  <c r="J8" i="3"/>
  <c r="J9" i="3"/>
  <c r="J10" i="3"/>
  <c r="J11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I3" i="3"/>
  <c r="I5" i="3"/>
  <c r="I6" i="3"/>
  <c r="I7" i="3"/>
  <c r="I8" i="3"/>
  <c r="I9" i="3"/>
  <c r="I10" i="3"/>
  <c r="I11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H3" i="3"/>
  <c r="H5" i="3"/>
  <c r="H6" i="3"/>
  <c r="H7" i="3"/>
  <c r="H8" i="3"/>
  <c r="H9" i="3"/>
  <c r="H10" i="3"/>
  <c r="H11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N2" i="3"/>
  <c r="M2" i="3"/>
  <c r="L2" i="3"/>
  <c r="K2" i="3"/>
  <c r="I2" i="3"/>
  <c r="H2" i="3"/>
  <c r="J2" i="3"/>
  <c r="N8" i="5" l="1"/>
  <c r="L23" i="5"/>
  <c r="N10" i="5"/>
  <c r="O10" i="5" s="1"/>
  <c r="N26" i="5"/>
  <c r="O26" i="5" s="1"/>
  <c r="L21" i="5"/>
  <c r="N6" i="5"/>
  <c r="O6" i="5" s="1"/>
  <c r="L31" i="5"/>
  <c r="L18" i="5"/>
  <c r="O21" i="5"/>
  <c r="L29" i="5"/>
  <c r="O29" i="5"/>
  <c r="O17" i="5"/>
  <c r="L27" i="5"/>
  <c r="L22" i="5"/>
  <c r="L17" i="5"/>
  <c r="L6" i="5"/>
  <c r="N25" i="5"/>
  <c r="O25" i="5" s="1"/>
  <c r="O22" i="5"/>
  <c r="O18" i="5"/>
  <c r="N30" i="5"/>
  <c r="O30" i="5" s="1"/>
  <c r="N14" i="5"/>
  <c r="O14" i="5" s="1"/>
  <c r="N3" i="5"/>
  <c r="O3" i="5" s="1"/>
  <c r="N11" i="5"/>
  <c r="O11" i="5" s="1"/>
  <c r="N7" i="5"/>
  <c r="O7" i="5" s="1"/>
  <c r="L19" i="5"/>
  <c r="L11" i="5"/>
  <c r="N13" i="5"/>
  <c r="O13" i="5" s="1"/>
  <c r="O31" i="5"/>
  <c r="O27" i="5"/>
  <c r="O23" i="5"/>
  <c r="O19" i="5"/>
  <c r="O15" i="5"/>
  <c r="L10" i="5"/>
  <c r="O2" i="5"/>
  <c r="N9" i="5"/>
  <c r="O9" i="5" s="1"/>
  <c r="N5" i="5"/>
  <c r="O5" i="5" s="1"/>
  <c r="L15" i="5"/>
  <c r="N32" i="5"/>
  <c r="O32" i="5" s="1"/>
  <c r="N28" i="5"/>
  <c r="O28" i="5" s="1"/>
  <c r="N24" i="5"/>
  <c r="O24" i="5" s="1"/>
  <c r="N20" i="5"/>
  <c r="O20" i="5" s="1"/>
  <c r="N16" i="5"/>
  <c r="O16" i="5" s="1"/>
  <c r="O8" i="5"/>
  <c r="N4" i="5"/>
  <c r="O4" i="5" s="1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2" i="4"/>
  <c r="K14" i="1"/>
  <c r="K3" i="1"/>
  <c r="K4" i="1"/>
  <c r="K5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K2" i="1"/>
  <c r="I2" i="1"/>
  <c r="J2" i="1" s="1"/>
  <c r="H2" i="1"/>
  <c r="D1" i="1"/>
  <c r="I22" i="8"/>
  <c r="I17" i="8"/>
  <c r="I16" i="8"/>
  <c r="R3" i="8" l="1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8" i="8"/>
  <c r="I19" i="8"/>
  <c r="I20" i="8"/>
  <c r="I21" i="8"/>
  <c r="I23" i="8"/>
  <c r="I24" i="8"/>
  <c r="I25" i="8"/>
  <c r="I26" i="8"/>
  <c r="I27" i="8"/>
  <c r="I28" i="8"/>
  <c r="I29" i="8"/>
  <c r="I30" i="8"/>
  <c r="I31" i="8"/>
  <c r="I2" i="8"/>
  <c r="K121" i="6"/>
  <c r="J121" i="6"/>
  <c r="M121" i="6" s="1"/>
  <c r="K120" i="6"/>
  <c r="J120" i="6"/>
  <c r="M120" i="6" s="1"/>
  <c r="K119" i="6"/>
  <c r="J119" i="6"/>
  <c r="M119" i="6" s="1"/>
  <c r="K118" i="6"/>
  <c r="J118" i="6"/>
  <c r="M118" i="6" s="1"/>
  <c r="K117" i="6"/>
  <c r="J117" i="6"/>
  <c r="M117" i="6" s="1"/>
  <c r="K116" i="6"/>
  <c r="J116" i="6"/>
  <c r="M116" i="6" s="1"/>
  <c r="K115" i="6"/>
  <c r="J115" i="6"/>
  <c r="M115" i="6" s="1"/>
  <c r="K114" i="6"/>
  <c r="J114" i="6"/>
  <c r="M114" i="6" s="1"/>
  <c r="K113" i="6"/>
  <c r="J113" i="6"/>
  <c r="M113" i="6" s="1"/>
  <c r="K112" i="6"/>
  <c r="J112" i="6"/>
  <c r="M112" i="6" s="1"/>
  <c r="K111" i="6"/>
  <c r="J111" i="6"/>
  <c r="M111" i="6" s="1"/>
  <c r="K110" i="6"/>
  <c r="J110" i="6"/>
  <c r="M110" i="6" s="1"/>
  <c r="K109" i="6"/>
  <c r="J109" i="6"/>
  <c r="M109" i="6" s="1"/>
  <c r="K108" i="6"/>
  <c r="J108" i="6"/>
  <c r="M108" i="6" s="1"/>
  <c r="K107" i="6"/>
  <c r="J107" i="6"/>
  <c r="M107" i="6" s="1"/>
  <c r="K106" i="6"/>
  <c r="J106" i="6"/>
  <c r="M106" i="6" s="1"/>
  <c r="K105" i="6"/>
  <c r="J105" i="6"/>
  <c r="M105" i="6" s="1"/>
  <c r="K104" i="6"/>
  <c r="J104" i="6"/>
  <c r="M104" i="6" s="1"/>
  <c r="K103" i="6"/>
  <c r="J103" i="6"/>
  <c r="M103" i="6" s="1"/>
  <c r="K102" i="6"/>
  <c r="J102" i="6"/>
  <c r="M102" i="6" s="1"/>
  <c r="K101" i="6"/>
  <c r="J101" i="6"/>
  <c r="M101" i="6" s="1"/>
  <c r="K100" i="6"/>
  <c r="J100" i="6"/>
  <c r="M100" i="6" s="1"/>
  <c r="K99" i="6"/>
  <c r="J99" i="6"/>
  <c r="M99" i="6" s="1"/>
  <c r="K98" i="6"/>
  <c r="J98" i="6"/>
  <c r="M98" i="6" s="1"/>
  <c r="K97" i="6"/>
  <c r="J97" i="6"/>
  <c r="M97" i="6" s="1"/>
  <c r="K96" i="6"/>
  <c r="J96" i="6"/>
  <c r="M96" i="6" s="1"/>
  <c r="K95" i="6"/>
  <c r="J95" i="6"/>
  <c r="M95" i="6" s="1"/>
  <c r="K94" i="6"/>
  <c r="J94" i="6"/>
  <c r="M94" i="6" s="1"/>
  <c r="K93" i="6"/>
  <c r="J93" i="6"/>
  <c r="M93" i="6" s="1"/>
  <c r="K92" i="6"/>
  <c r="J92" i="6"/>
  <c r="M92" i="6" s="1"/>
  <c r="K91" i="6"/>
  <c r="J91" i="6"/>
  <c r="M91" i="6" s="1"/>
  <c r="K90" i="6"/>
  <c r="J90" i="6"/>
  <c r="M90" i="6" s="1"/>
  <c r="K76" i="6"/>
  <c r="J76" i="6"/>
  <c r="M76" i="6" s="1"/>
  <c r="K75" i="6"/>
  <c r="J75" i="6"/>
  <c r="M75" i="6" s="1"/>
  <c r="K74" i="6"/>
  <c r="J74" i="6"/>
  <c r="M74" i="6" s="1"/>
  <c r="K73" i="6"/>
  <c r="J73" i="6"/>
  <c r="M73" i="6" s="1"/>
  <c r="K72" i="6"/>
  <c r="J72" i="6"/>
  <c r="M72" i="6" s="1"/>
  <c r="K71" i="6"/>
  <c r="J71" i="6"/>
  <c r="M71" i="6" s="1"/>
  <c r="K70" i="6"/>
  <c r="J70" i="6"/>
  <c r="M70" i="6" s="1"/>
  <c r="K69" i="6"/>
  <c r="J69" i="6"/>
  <c r="M69" i="6" s="1"/>
  <c r="K68" i="6"/>
  <c r="J68" i="6"/>
  <c r="M68" i="6" s="1"/>
  <c r="K67" i="6"/>
  <c r="J67" i="6"/>
  <c r="M67" i="6" s="1"/>
  <c r="K66" i="6"/>
  <c r="J66" i="6"/>
  <c r="M66" i="6" s="1"/>
  <c r="K65" i="6"/>
  <c r="J65" i="6"/>
  <c r="M65" i="6" s="1"/>
  <c r="K64" i="6"/>
  <c r="J64" i="6"/>
  <c r="M64" i="6" s="1"/>
  <c r="K63" i="6"/>
  <c r="J63" i="6"/>
  <c r="M63" i="6" s="1"/>
  <c r="K62" i="6"/>
  <c r="J62" i="6"/>
  <c r="M62" i="6" s="1"/>
  <c r="K61" i="6"/>
  <c r="J61" i="6"/>
  <c r="M61" i="6" s="1"/>
  <c r="J9" i="6"/>
  <c r="M9" i="6" s="1"/>
  <c r="J10" i="6"/>
  <c r="J11" i="6"/>
  <c r="M11" i="6" s="1"/>
  <c r="J12" i="6"/>
  <c r="M12" i="6" s="1"/>
  <c r="J13" i="6"/>
  <c r="J14" i="6"/>
  <c r="J15" i="6"/>
  <c r="M15" i="6" s="1"/>
  <c r="J16" i="6"/>
  <c r="M16" i="6" s="1"/>
  <c r="J17" i="6"/>
  <c r="M10" i="6"/>
  <c r="M14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L13" i="6"/>
  <c r="J18" i="6"/>
  <c r="M18" i="6" s="1"/>
  <c r="J19" i="6"/>
  <c r="M19" i="6" s="1"/>
  <c r="J20" i="6"/>
  <c r="M20" i="6" s="1"/>
  <c r="J21" i="6"/>
  <c r="J22" i="6"/>
  <c r="M22" i="6" s="1"/>
  <c r="J23" i="6"/>
  <c r="M23" i="6" s="1"/>
  <c r="J24" i="6"/>
  <c r="M24" i="6" s="1"/>
  <c r="J25" i="6"/>
  <c r="J26" i="6"/>
  <c r="M26" i="6" s="1"/>
  <c r="J27" i="6"/>
  <c r="M27" i="6" s="1"/>
  <c r="J28" i="6"/>
  <c r="M28" i="6" s="1"/>
  <c r="J29" i="6"/>
  <c r="J30" i="6"/>
  <c r="M30" i="6" s="1"/>
  <c r="J31" i="6"/>
  <c r="M31" i="6" s="1"/>
  <c r="J32" i="6"/>
  <c r="M32" i="6" s="1"/>
  <c r="J33" i="6"/>
  <c r="M33" i="6" s="1"/>
  <c r="J34" i="6"/>
  <c r="M34" i="6" s="1"/>
  <c r="J35" i="6"/>
  <c r="M35" i="6" s="1"/>
  <c r="J36" i="6"/>
  <c r="M36" i="6" s="1"/>
  <c r="J37" i="6"/>
  <c r="J38" i="6"/>
  <c r="M38" i="6" s="1"/>
  <c r="J39" i="6"/>
  <c r="M39" i="6" s="1"/>
  <c r="J40" i="6"/>
  <c r="M40" i="6" s="1"/>
  <c r="J41" i="6"/>
  <c r="J42" i="6"/>
  <c r="M42" i="6" s="1"/>
  <c r="J43" i="6"/>
  <c r="M43" i="6" s="1"/>
  <c r="J44" i="6"/>
  <c r="M44" i="6" s="1"/>
  <c r="J45" i="6"/>
  <c r="J46" i="6"/>
  <c r="M46" i="6" s="1"/>
  <c r="J47" i="6"/>
  <c r="M47" i="6" s="1"/>
  <c r="J48" i="6"/>
  <c r="M48" i="6" s="1"/>
  <c r="J49" i="6"/>
  <c r="M49" i="6" s="1"/>
  <c r="J50" i="6"/>
  <c r="M50" i="6" s="1"/>
  <c r="J51" i="6"/>
  <c r="M51" i="6" s="1"/>
  <c r="J52" i="6"/>
  <c r="M52" i="6" s="1"/>
  <c r="J53" i="6"/>
  <c r="M53" i="6" s="1"/>
  <c r="J54" i="6"/>
  <c r="M54" i="6" s="1"/>
  <c r="J55" i="6"/>
  <c r="M55" i="6" s="1"/>
  <c r="J56" i="6"/>
  <c r="M56" i="6" s="1"/>
  <c r="K9" i="6"/>
  <c r="L52" i="6" l="1"/>
  <c r="L44" i="6"/>
  <c r="L36" i="6"/>
  <c r="L28" i="6"/>
  <c r="L24" i="6"/>
  <c r="L55" i="6"/>
  <c r="L51" i="6"/>
  <c r="L47" i="6"/>
  <c r="L43" i="6"/>
  <c r="L39" i="6"/>
  <c r="L35" i="6"/>
  <c r="L31" i="6"/>
  <c r="L27" i="6"/>
  <c r="L23" i="6"/>
  <c r="L19" i="6"/>
  <c r="L17" i="6"/>
  <c r="L56" i="6"/>
  <c r="L48" i="6"/>
  <c r="L40" i="6"/>
  <c r="L32" i="6"/>
  <c r="L20" i="6"/>
  <c r="L45" i="6"/>
  <c r="L41" i="6"/>
  <c r="L37" i="6"/>
  <c r="L29" i="6"/>
  <c r="L25" i="6"/>
  <c r="L21" i="6"/>
  <c r="L54" i="6"/>
  <c r="L50" i="6"/>
  <c r="L46" i="6"/>
  <c r="L42" i="6"/>
  <c r="L38" i="6"/>
  <c r="L34" i="6"/>
  <c r="L30" i="6"/>
  <c r="L26" i="6"/>
  <c r="L22" i="6"/>
  <c r="L18" i="6"/>
  <c r="L62" i="6"/>
  <c r="L64" i="6"/>
  <c r="L66" i="6"/>
  <c r="L68" i="6"/>
  <c r="L121" i="6"/>
  <c r="L72" i="6"/>
  <c r="L76" i="6"/>
  <c r="L93" i="6"/>
  <c r="L99" i="6"/>
  <c r="L119" i="6"/>
  <c r="L70" i="6"/>
  <c r="L74" i="6"/>
  <c r="L91" i="6"/>
  <c r="L95" i="6"/>
  <c r="L97" i="6"/>
  <c r="L101" i="6"/>
  <c r="L103" i="6"/>
  <c r="L105" i="6"/>
  <c r="L107" i="6"/>
  <c r="L109" i="6"/>
  <c r="L111" i="6"/>
  <c r="L113" i="6"/>
  <c r="L115" i="6"/>
  <c r="L117" i="6"/>
  <c r="L65" i="6"/>
  <c r="L67" i="6"/>
  <c r="L69" i="6"/>
  <c r="L71" i="6"/>
  <c r="L73" i="6"/>
  <c r="L75" i="6"/>
  <c r="L90" i="6"/>
  <c r="L92" i="6"/>
  <c r="L94" i="6"/>
  <c r="L96" i="6"/>
  <c r="L98" i="6"/>
  <c r="L100" i="6"/>
  <c r="L102" i="6"/>
  <c r="L104" i="6"/>
  <c r="L106" i="6"/>
  <c r="L108" i="6"/>
  <c r="L110" i="6"/>
  <c r="L112" i="6"/>
  <c r="L114" i="6"/>
  <c r="L116" i="6"/>
  <c r="L118" i="6"/>
  <c r="L120" i="6"/>
  <c r="L61" i="6"/>
  <c r="L63" i="6"/>
  <c r="L16" i="6"/>
  <c r="L12" i="6"/>
  <c r="L15" i="6"/>
  <c r="L11" i="6"/>
  <c r="L14" i="6"/>
  <c r="L10" i="6"/>
  <c r="M45" i="6"/>
  <c r="M41" i="6"/>
  <c r="M37" i="6"/>
  <c r="M29" i="6"/>
  <c r="M25" i="6"/>
  <c r="M21" i="6"/>
  <c r="M17" i="6"/>
  <c r="M13" i="6"/>
  <c r="L33" i="6"/>
  <c r="L53" i="6"/>
  <c r="L49" i="6"/>
  <c r="L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Виталий</author>
  </authors>
  <commentList>
    <comment ref="AM10" authorId="0" shapeId="0" xr:uid="{C99EE2BF-1A8D-4C11-8C9C-E1E571D9AA56}">
      <text>
        <r>
          <rPr>
            <b/>
            <sz val="9"/>
            <color indexed="81"/>
            <rFont val="Tahoma"/>
            <family val="2"/>
            <charset val="204"/>
          </rPr>
          <t>Виталий:</t>
        </r>
        <r>
          <rPr>
            <sz val="9"/>
            <color indexed="81"/>
            <rFont val="Tahoma"/>
            <family val="2"/>
            <charset val="204"/>
          </rPr>
          <t xml:space="preserve">
высохло</t>
        </r>
      </text>
    </comment>
    <comment ref="AQ16" authorId="0" shapeId="0" xr:uid="{92C79828-F681-46EA-85C2-119B07791CD6}">
      <text>
        <r>
          <rPr>
            <b/>
            <sz val="9"/>
            <color indexed="81"/>
            <rFont val="Tahoma"/>
            <family val="2"/>
            <charset val="204"/>
          </rPr>
          <t>Виталий:</t>
        </r>
        <r>
          <rPr>
            <sz val="9"/>
            <color indexed="81"/>
            <rFont val="Tahoma"/>
            <family val="2"/>
            <charset val="204"/>
          </rPr>
          <t xml:space="preserve">
высохло</t>
        </r>
      </text>
    </comment>
    <comment ref="AR19" authorId="0" shapeId="0" xr:uid="{13B6C94C-219E-41B9-9E50-A5487394693B}">
      <text>
        <r>
          <rPr>
            <b/>
            <sz val="9"/>
            <color indexed="81"/>
            <rFont val="Tahoma"/>
            <family val="2"/>
            <charset val="204"/>
          </rPr>
          <t>Виталий:</t>
        </r>
        <r>
          <rPr>
            <sz val="9"/>
            <color indexed="81"/>
            <rFont val="Tahoma"/>
            <family val="2"/>
            <charset val="204"/>
          </rPr>
          <t xml:space="preserve">
растение высохло</t>
        </r>
      </text>
    </comment>
    <comment ref="AN21" authorId="0" shapeId="0" xr:uid="{4A554B6E-E01B-43E3-AA3B-0A5F241CF3AC}">
      <text>
        <r>
          <rPr>
            <b/>
            <sz val="9"/>
            <color indexed="81"/>
            <rFont val="Tahoma"/>
            <family val="2"/>
            <charset val="204"/>
          </rPr>
          <t>Виталий:</t>
        </r>
        <r>
          <rPr>
            <sz val="9"/>
            <color indexed="81"/>
            <rFont val="Tahoma"/>
            <family val="2"/>
            <charset val="204"/>
          </rPr>
          <t xml:space="preserve">
высохло</t>
        </r>
      </text>
    </comment>
    <comment ref="AQ21" authorId="0" shapeId="0" xr:uid="{184A425C-EBDC-4E44-ACAB-EA125FDAC0B7}">
      <text>
        <r>
          <rPr>
            <b/>
            <sz val="9"/>
            <color indexed="81"/>
            <rFont val="Tahoma"/>
            <family val="2"/>
            <charset val="204"/>
          </rPr>
          <t>Виталий:</t>
        </r>
        <r>
          <rPr>
            <sz val="9"/>
            <color indexed="81"/>
            <rFont val="Tahoma"/>
            <family val="2"/>
            <charset val="204"/>
          </rPr>
          <t xml:space="preserve">
растение высохло</t>
        </r>
      </text>
    </comment>
    <comment ref="AP26" authorId="0" shapeId="0" xr:uid="{B00864F0-17A3-40A3-8FC1-A26FE38C467C}">
      <text>
        <r>
          <rPr>
            <b/>
            <sz val="9"/>
            <color indexed="81"/>
            <rFont val="Tahoma"/>
            <family val="2"/>
            <charset val="204"/>
          </rPr>
          <t>Виталий:</t>
        </r>
        <r>
          <rPr>
            <sz val="9"/>
            <color indexed="81"/>
            <rFont val="Tahoma"/>
            <family val="2"/>
            <charset val="204"/>
          </rPr>
          <t xml:space="preserve">
высохло</t>
        </r>
      </text>
    </comment>
  </commentList>
</comments>
</file>

<file path=xl/sharedStrings.xml><?xml version="1.0" encoding="utf-8"?>
<sst xmlns="http://schemas.openxmlformats.org/spreadsheetml/2006/main" count="793" uniqueCount="257">
  <si>
    <t>Дата</t>
  </si>
  <si>
    <t>Ес</t>
  </si>
  <si>
    <t>рН</t>
  </si>
  <si>
    <t>высота раствора, см</t>
  </si>
  <si>
    <t>Б</t>
  </si>
  <si>
    <t>С</t>
  </si>
  <si>
    <t>Потребляемая мощность стеллажа, Вт/ч</t>
  </si>
  <si>
    <t>Напряжение, В</t>
  </si>
  <si>
    <t>Сила тока, А</t>
  </si>
  <si>
    <t>Лямбда, %</t>
  </si>
  <si>
    <t>Частота тока, Гц</t>
  </si>
  <si>
    <t>кол-во маточного раствора А, мл/л</t>
  </si>
  <si>
    <t>посев 26 сортов, рецепт света для рассады 4000-36%</t>
  </si>
  <si>
    <t>наименование сорта</t>
  </si>
  <si>
    <t>ед. всх</t>
  </si>
  <si>
    <t>масс всх</t>
  </si>
  <si>
    <t>цезарь</t>
  </si>
  <si>
    <t>хризолит</t>
  </si>
  <si>
    <t>везувий</t>
  </si>
  <si>
    <t>риф</t>
  </si>
  <si>
    <t>порфира</t>
  </si>
  <si>
    <t>импульс</t>
  </si>
  <si>
    <t>джипси</t>
  </si>
  <si>
    <t>родео</t>
  </si>
  <si>
    <t>филигрань</t>
  </si>
  <si>
    <t>рафаэль</t>
  </si>
  <si>
    <t>афицион</t>
  </si>
  <si>
    <t>мидори</t>
  </si>
  <si>
    <t>каскад</t>
  </si>
  <si>
    <t>триплекс</t>
  </si>
  <si>
    <t>бохо</t>
  </si>
  <si>
    <t>пилигрим</t>
  </si>
  <si>
    <t>нефрит</t>
  </si>
  <si>
    <t>аланис</t>
  </si>
  <si>
    <t>барлах</t>
  </si>
  <si>
    <t>фрезер</t>
  </si>
  <si>
    <t>конверин</t>
  </si>
  <si>
    <t>старфайтер</t>
  </si>
  <si>
    <t>юкатан</t>
  </si>
  <si>
    <t>бахус</t>
  </si>
  <si>
    <t>форт</t>
  </si>
  <si>
    <t>борей</t>
  </si>
  <si>
    <t>плохие всходы</t>
  </si>
  <si>
    <t>температура воды</t>
  </si>
  <si>
    <t>объем р-ра, л</t>
  </si>
  <si>
    <t>яр 1</t>
  </si>
  <si>
    <t>яр 2</t>
  </si>
  <si>
    <t>яр 3</t>
  </si>
  <si>
    <t>яр 4</t>
  </si>
  <si>
    <t>контроль</t>
  </si>
  <si>
    <t>рецепт</t>
  </si>
  <si>
    <t>4000-33</t>
  </si>
  <si>
    <t>4000-60</t>
  </si>
  <si>
    <t>4000-75</t>
  </si>
  <si>
    <t>4000-100%</t>
  </si>
  <si>
    <t xml:space="preserve">Сорт </t>
  </si>
  <si>
    <t>Вариант</t>
  </si>
  <si>
    <t>Показатель</t>
  </si>
  <si>
    <t>Джипси</t>
  </si>
  <si>
    <t>Высота, см</t>
  </si>
  <si>
    <t>Ес, мСм/см</t>
  </si>
  <si>
    <t>измерения слева на право</t>
  </si>
  <si>
    <t>1 см=0,19 л</t>
  </si>
  <si>
    <t>Цезарь</t>
  </si>
  <si>
    <t>Каскад</t>
  </si>
  <si>
    <t>Триплекс</t>
  </si>
  <si>
    <t>Рафаэль</t>
  </si>
  <si>
    <t>Риф</t>
  </si>
  <si>
    <t>темп р-ра</t>
  </si>
  <si>
    <t>Среднее</t>
  </si>
  <si>
    <t>Ошибка средней</t>
  </si>
  <si>
    <t>Точность измерений, %</t>
  </si>
  <si>
    <t>Коэф вариации, %</t>
  </si>
  <si>
    <t>добавили во все сосуды по 0,5 л раствора, ес 1,97</t>
  </si>
  <si>
    <t>27 сут выращ</t>
  </si>
  <si>
    <t>Сорт</t>
  </si>
  <si>
    <t>Высота розетки/Длина листа, см</t>
  </si>
  <si>
    <t>Диаметр розетки/Ширина листа, см</t>
  </si>
  <si>
    <t>Длина корней, см</t>
  </si>
  <si>
    <t>Масса листьев товар, г</t>
  </si>
  <si>
    <t>Масса листьев нетовар, г</t>
  </si>
  <si>
    <t>Масса стебля, г</t>
  </si>
  <si>
    <t>Масса корня, г</t>
  </si>
  <si>
    <t>ес</t>
  </si>
  <si>
    <t>темп</t>
  </si>
  <si>
    <t>выс</t>
  </si>
  <si>
    <t>Кол-во листьев, шт</t>
  </si>
  <si>
    <t>ломкие листья</t>
  </si>
  <si>
    <t>уборка триплекс, рафаэль</t>
  </si>
  <si>
    <t>28 сут выращ</t>
  </si>
  <si>
    <t>уборка джипси, цезарь, каскад, риф</t>
  </si>
  <si>
    <t>ДОЛИЛИ ПО 500 мл</t>
  </si>
  <si>
    <t>мощность, Вт</t>
  </si>
  <si>
    <t>лямбда, %</t>
  </si>
  <si>
    <t>вариант</t>
  </si>
  <si>
    <t>номер горшка</t>
  </si>
  <si>
    <t>площадь высечки, м2</t>
  </si>
  <si>
    <t>ном бюк</t>
  </si>
  <si>
    <t>масса бюк</t>
  </si>
  <si>
    <t>бюкс+навеска</t>
  </si>
  <si>
    <t>бюкс сух</t>
  </si>
  <si>
    <t>310 лист</t>
  </si>
  <si>
    <t>9 лист</t>
  </si>
  <si>
    <t>17 корень</t>
  </si>
  <si>
    <t>20 лист</t>
  </si>
  <si>
    <t>99 лист</t>
  </si>
  <si>
    <t>574 л</t>
  </si>
  <si>
    <t>645 л</t>
  </si>
  <si>
    <t>17 л</t>
  </si>
  <si>
    <t>555 л</t>
  </si>
  <si>
    <t>31 стебель</t>
  </si>
  <si>
    <t>10 л</t>
  </si>
  <si>
    <t>11 корень</t>
  </si>
  <si>
    <t>25 л</t>
  </si>
  <si>
    <t>масса лист, г</t>
  </si>
  <si>
    <t>масса бюкс</t>
  </si>
  <si>
    <t>масса св лист 1</t>
  </si>
  <si>
    <t>масса лист через 1 сутки</t>
  </si>
  <si>
    <t>43 л</t>
  </si>
  <si>
    <t>2 л</t>
  </si>
  <si>
    <t>3 л</t>
  </si>
  <si>
    <t>16 корень</t>
  </si>
  <si>
    <t>24 л</t>
  </si>
  <si>
    <t>120 ст</t>
  </si>
  <si>
    <t>101 л</t>
  </si>
  <si>
    <t>102 л</t>
  </si>
  <si>
    <t>29 л</t>
  </si>
  <si>
    <t>13 л</t>
  </si>
  <si>
    <t>137 л</t>
  </si>
  <si>
    <t>54 л</t>
  </si>
  <si>
    <t>до хранения</t>
  </si>
  <si>
    <t>после хранения</t>
  </si>
  <si>
    <t>2 далее только листья</t>
  </si>
  <si>
    <t>сладкий</t>
  </si>
  <si>
    <t>горький</t>
  </si>
  <si>
    <t>травянистый, горчит</t>
  </si>
  <si>
    <t>грубый, травянистый, горчит</t>
  </si>
  <si>
    <t>хрустящий, горчит</t>
  </si>
  <si>
    <t>травянистый, хрустящий</t>
  </si>
  <si>
    <t>масса лист через 2е суток</t>
  </si>
  <si>
    <t>нейтральный</t>
  </si>
  <si>
    <t>нейтрально-сладкий</t>
  </si>
  <si>
    <t>сладкий, горчит</t>
  </si>
  <si>
    <t>СВ, %</t>
  </si>
  <si>
    <t>Сод воды, %</t>
  </si>
  <si>
    <t>сух в-во,%</t>
  </si>
  <si>
    <t>водн деф, %</t>
  </si>
  <si>
    <t>относ тургесц, %</t>
  </si>
  <si>
    <t>m сух л</t>
  </si>
  <si>
    <t>m оводнен лист</t>
  </si>
  <si>
    <t>кол-во воды, насыщ орган, г</t>
  </si>
  <si>
    <t>исход содерж воды, г</t>
  </si>
  <si>
    <t>Сух в-во после увядания, %</t>
  </si>
  <si>
    <t>общ оводненность, %</t>
  </si>
  <si>
    <t>водоудерж сп, %</t>
  </si>
  <si>
    <t>Подвиж влага, %</t>
  </si>
  <si>
    <t>Общ</t>
  </si>
  <si>
    <t>травянистый</t>
  </si>
  <si>
    <t>нейтральный, горчит</t>
  </si>
  <si>
    <t>уборка сортов Барлах, филигрань, порфира, импульс, пилигрим</t>
  </si>
  <si>
    <t>уборка 20 сортов (триплекс 1 вариант убран 17.04)</t>
  </si>
  <si>
    <t>до хранения (закладка 17-18.04)</t>
  </si>
  <si>
    <t>после хранения (взвешивание 27.04)</t>
  </si>
  <si>
    <t>конденсат есть, потеря тургора, пятен нет, изменения цвета отсутствуют, нормальный запах, травянистый</t>
  </si>
  <si>
    <t>конденсат есть, потеря тургора, пятен нет, изменения цвета отсутствуют, слабый запах, горчит</t>
  </si>
  <si>
    <t>конденсат есть, потеря тургора, небольшие пятна, изменения цвета отсутствуют, слабый запах, травянистый</t>
  </si>
  <si>
    <t>конденсат есть, средняя потеря тургора, пятна есть, изменения цвета отсутствует, слабый запах, нейтрально-сладкий</t>
  </si>
  <si>
    <t>конденсат есть, потеря тургора, пятна есть, слегка желтоватый, номальный запах, травянистый</t>
  </si>
  <si>
    <t>конденсат слабый, слабая потеря тургора, пятен нет, изменения цвета отсутствуют, запаха нет, горчит</t>
  </si>
  <si>
    <t>конденсат слабый, слабая потеря тургора, пятна есть, слегка желтоватый, запаха нет, нейтрально-сладкий</t>
  </si>
  <si>
    <t>конденсат есть, слабая потеря тургора, небольшие пятна, изменения цвета отсутствуют, запаха нет, горчит</t>
  </si>
  <si>
    <t>конденсат слабый, слабая потеря тургора, пятен нет, изменения цвета отсутствуют, запаха нет, травянистый</t>
  </si>
  <si>
    <t>конденсат средний, слабая потеря тургора, небольшие пятна, изменнения цвета отсутствуют, слабый запах, нейтрально-кислый, горчит</t>
  </si>
  <si>
    <t>конденсат слабый, нет потери тургора, небольшие пятна, изменения цвета отсутствуют, слабый запах, нейтральный</t>
  </si>
  <si>
    <t>конденсат слабый, слабая потеря тургора,  чёрные пятна по краям, изменения цвета отсутствуют, слабый запах, сладкий</t>
  </si>
  <si>
    <t>конденсат очень слабый, нет потери тургора, небольшие пятна, изменения цвета отсутствуют, слабый запах, горчит</t>
  </si>
  <si>
    <t>конденсат есть, нет потери тургора, небольшие пятна, изменения цвета отсутствуют, нормальный запах, сладкий</t>
  </si>
  <si>
    <t>конденсат слабый, слабая потеря тургора, небольшие пятна, слегка желтоватый, нейтральный запах, сладкий</t>
  </si>
  <si>
    <t xml:space="preserve">конденсат слабый, слабая потеря тургора, пятна есть, изменения цвета отсутствуют, слабый запах, сладкий </t>
  </si>
  <si>
    <t>конденсат слабый, слабая потеря тургора, пятна есть, изменения цвета отсутствуют, слабый запах, горчит</t>
  </si>
  <si>
    <t>конденсат средний, слабая потеря тургора, небольшие пятна, изменения цвета отсутствуют, слабый запах, сладкий</t>
  </si>
  <si>
    <t>конденсат средний, слабая потеря тургора, небольшие пятна, изменения цвета отсутствуют, травянистый запах, слегка горчит</t>
  </si>
  <si>
    <t>конденсат слабый, потеря тургора, небольшие пятна, изменения цвета отсутствуют, слабый запах, нейтральный</t>
  </si>
  <si>
    <t>конденсат есть, слабая потеря тургора, пятен нет, изменения цвета отсутствуют, нормальный запах, нейтрально-сладкий</t>
  </si>
  <si>
    <t>конденсат средний, средняя потеря тургора, небольшие пятна, слегка желтоватый, нормальный запах, нейтральный</t>
  </si>
  <si>
    <t>конденсат есть, средняя потеря тургора, пятен нет, изменения цвета отсутствуют, нормальный запах, травянистый</t>
  </si>
  <si>
    <t>конденсат есть, слабая потеря тургора, небольшие пятна, изменения цвета отсутствуют, слабый травянистый запах, травянистый</t>
  </si>
  <si>
    <t>конденсат есть, тургор есть, гниль, изменения цвета отсутствуют, слабый травянистый запах, сладкий</t>
  </si>
  <si>
    <t>конденсат средний, очень слабая потеря тургора, пятен нет, изменения цвета отсутствуют, нормальный запах, нейтрально-травянистый</t>
  </si>
  <si>
    <t>конденсат слабый, потеря тургора, пятна есть, слегка желтоватый, прятный травянистый запах, сладкий</t>
  </si>
  <si>
    <t>конденсат слабый, потеря тургора, пятна есть, слегка желтоватый, нормальный травянистый запах, нейтральный</t>
  </si>
  <si>
    <t>конденсат есть, слабая потеря тургора, признаки гнили, слегка желтоватый, травянистый запах, нейтрально-сладкий</t>
  </si>
  <si>
    <t>конденсат есть, потеря тургора, небольшие пятна, изменения цвета отсутствуют, нейтрально-гнилостный запах, сладкий</t>
  </si>
  <si>
    <t>Мидори</t>
  </si>
  <si>
    <t>Везувий</t>
  </si>
  <si>
    <t>Хризолит</t>
  </si>
  <si>
    <t>Нефрит</t>
  </si>
  <si>
    <t>Форт</t>
  </si>
  <si>
    <t>Борей</t>
  </si>
  <si>
    <t>Старфайтер</t>
  </si>
  <si>
    <t>Аланис</t>
  </si>
  <si>
    <t>Афицион</t>
  </si>
  <si>
    <t>Родео</t>
  </si>
  <si>
    <t>Филигрань</t>
  </si>
  <si>
    <t>Конвершн</t>
  </si>
  <si>
    <t>Бахус</t>
  </si>
  <si>
    <t>Юкатан</t>
  </si>
  <si>
    <t>Бохо</t>
  </si>
  <si>
    <t>Пилигрим</t>
  </si>
  <si>
    <t>Импульс</t>
  </si>
  <si>
    <t>Порфира</t>
  </si>
  <si>
    <t>Фрезер</t>
  </si>
  <si>
    <t>Барлах</t>
  </si>
  <si>
    <t>Длина</t>
  </si>
  <si>
    <t>Ширина</t>
  </si>
  <si>
    <t>кол-во</t>
  </si>
  <si>
    <t>номер блока</t>
  </si>
  <si>
    <t>масса бюкса</t>
  </si>
  <si>
    <t>масса бюкса и навеска</t>
  </si>
  <si>
    <t>сорт</t>
  </si>
  <si>
    <t>номер бюкса</t>
  </si>
  <si>
    <t>масса навески</t>
  </si>
  <si>
    <t>после уборки</t>
  </si>
  <si>
    <t>нейтрал</t>
  </si>
  <si>
    <t>нейтрально-горький</t>
  </si>
  <si>
    <t>стеблевание</t>
  </si>
  <si>
    <t>масса св листа, г</t>
  </si>
  <si>
    <t>ОБЪЕМ ИЗРАСХОД Р-РА НА ПРОИЗВОД СТЕЛЛАЖЕ ЗА ПЕР ВЫРАЩ</t>
  </si>
  <si>
    <t>высота израсход р-ра, см</t>
  </si>
  <si>
    <t>объем, л</t>
  </si>
  <si>
    <t>10 л=2,5 см</t>
  </si>
  <si>
    <t>Кол-во растений на сорт, приблизительно, шт</t>
  </si>
  <si>
    <t>кол-во сортов, шт</t>
  </si>
  <si>
    <t>напряжение, В</t>
  </si>
  <si>
    <t>Площадь 1 лотка, м2</t>
  </si>
  <si>
    <t>Площадь яруса, м2</t>
  </si>
  <si>
    <t>навеска в г</t>
  </si>
  <si>
    <t>оптич.плотность 440</t>
  </si>
  <si>
    <t>Ca</t>
  </si>
  <si>
    <t>Cb</t>
  </si>
  <si>
    <t>Ck</t>
  </si>
  <si>
    <t>Xa</t>
  </si>
  <si>
    <t>Xb</t>
  </si>
  <si>
    <t>Xk</t>
  </si>
  <si>
    <t>V вытяжки, мл</t>
  </si>
  <si>
    <t xml:space="preserve">V кр Тильманса </t>
  </si>
  <si>
    <t>содержание аскор кислоты на 100г</t>
  </si>
  <si>
    <t>вариант ПОСЛЕ ХРАНЕНИЯ</t>
  </si>
  <si>
    <t>сод-е в мг на кг</t>
  </si>
  <si>
    <t>СР</t>
  </si>
  <si>
    <t>потери %</t>
  </si>
  <si>
    <t>сумм</t>
  </si>
  <si>
    <t>сод-е растворимых сахаров в %</t>
  </si>
  <si>
    <t>сод-е НИТРАТОВ в мг на кг</t>
  </si>
  <si>
    <t xml:space="preserve">Фрезер </t>
  </si>
  <si>
    <t>высота раствора в сосуде, где растет растение. Для расчтета объема раствора нужно высоту умножить на 0,19 л</t>
  </si>
  <si>
    <t>Электропроводность раствора указывает сколько заряженных частиц есть в растворе, что соответствует ионам элементов минерального питания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</si>
</sst>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E7CC3"/>
        <bgColor rgb="FF8E7CC3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3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 wrapText="1"/>
    </xf>
    <xf numFmtId="0" fontId="0" fillId="0" borderId="0" xfId="0" applyFill="1" applyBorder="1" applyAlignment="1">
      <alignment vertical="top" wrapText="1"/>
    </xf>
    <xf numFmtId="0" fontId="5" fillId="0" borderId="0" xfId="0" applyFont="1" applyFill="1" applyBorder="1" applyAlignment="1">
      <alignment wrapText="1"/>
    </xf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 wrapText="1"/>
    </xf>
    <xf numFmtId="2" fontId="0" fillId="0" borderId="0" xfId="0" applyNumberFormat="1" applyFill="1" applyBorder="1"/>
    <xf numFmtId="164" fontId="0" fillId="0" borderId="0" xfId="0" applyNumberFormat="1" applyFill="1" applyBorder="1"/>
    <xf numFmtId="0" fontId="8" fillId="0" borderId="0" xfId="0" applyFont="1" applyFill="1" applyBorder="1" applyAlignment="1">
      <alignment vertical="center" wrapText="1"/>
    </xf>
    <xf numFmtId="165" fontId="0" fillId="0" borderId="0" xfId="0" applyNumberFormat="1" applyFill="1" applyBorder="1"/>
    <xf numFmtId="2" fontId="8" fillId="0" borderId="0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vertical="center" wrapText="1"/>
    </xf>
    <xf numFmtId="164" fontId="7" fillId="0" borderId="0" xfId="0" applyNumberFormat="1" applyFont="1"/>
    <xf numFmtId="0" fontId="0" fillId="2" borderId="0" xfId="0" applyFill="1"/>
    <xf numFmtId="0" fontId="9" fillId="3" borderId="0" xfId="0" applyFont="1" applyFill="1"/>
    <xf numFmtId="0" fontId="10" fillId="4" borderId="0" xfId="0" applyFont="1" applyFill="1"/>
    <xf numFmtId="0" fontId="11" fillId="0" borderId="0" xfId="0" applyFont="1" applyAlignment="1">
      <alignment horizontal="center" vertical="center"/>
    </xf>
    <xf numFmtId="164" fontId="10" fillId="0" borderId="0" xfId="0" applyNumberFormat="1" applyFont="1"/>
    <xf numFmtId="2" fontId="10" fillId="0" borderId="0" xfId="0" applyNumberFormat="1" applyFont="1"/>
    <xf numFmtId="164" fontId="11" fillId="0" borderId="0" xfId="0" applyNumberFormat="1" applyFont="1" applyAlignment="1">
      <alignment horizontal="center" vertical="center"/>
    </xf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Fill="1" applyBorder="1"/>
    <xf numFmtId="0" fontId="0" fillId="2" borderId="1" xfId="0" applyFill="1" applyBorder="1" applyAlignment="1">
      <alignment vertical="top" wrapText="1"/>
    </xf>
    <xf numFmtId="0" fontId="5" fillId="5" borderId="1" xfId="0" applyFont="1" applyFill="1" applyBorder="1" applyAlignment="1">
      <alignment horizontal="right" vertical="top" wrapText="1"/>
    </xf>
    <xf numFmtId="164" fontId="5" fillId="6" borderId="1" xfId="0" applyNumberFormat="1" applyFont="1" applyFill="1" applyBorder="1" applyAlignment="1">
      <alignment horizontal="right" vertical="top" wrapText="1"/>
    </xf>
    <xf numFmtId="0" fontId="0" fillId="5" borderId="1" xfId="0" applyFill="1" applyBorder="1" applyAlignment="1">
      <alignment vertical="top" wrapText="1"/>
    </xf>
    <xf numFmtId="2" fontId="0" fillId="5" borderId="1" xfId="0" applyNumberFormat="1" applyFill="1" applyBorder="1" applyAlignment="1">
      <alignment vertical="top" wrapText="1"/>
    </xf>
    <xf numFmtId="2" fontId="0" fillId="0" borderId="1" xfId="0" applyNumberForma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wrapText="1"/>
    </xf>
    <xf numFmtId="2" fontId="5" fillId="5" borderId="1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2" fontId="0" fillId="5" borderId="1" xfId="0" applyNumberFormat="1" applyFill="1" applyBorder="1"/>
    <xf numFmtId="164" fontId="0" fillId="5" borderId="1" xfId="0" applyNumberFormat="1" applyFill="1" applyBorder="1"/>
    <xf numFmtId="164" fontId="0" fillId="0" borderId="1" xfId="0" applyNumberFormat="1" applyFill="1" applyBorder="1"/>
    <xf numFmtId="16" fontId="0" fillId="2" borderId="1" xfId="0" applyNumberFormat="1" applyFill="1" applyBorder="1"/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wrapText="1"/>
    </xf>
    <xf numFmtId="164" fontId="5" fillId="2" borderId="1" xfId="0" applyNumberFormat="1" applyFont="1" applyFill="1" applyBorder="1" applyAlignment="1">
      <alignment horizontal="right" wrapText="1"/>
    </xf>
    <xf numFmtId="164" fontId="5" fillId="5" borderId="1" xfId="0" applyNumberFormat="1" applyFont="1" applyFill="1" applyBorder="1" applyAlignment="1">
      <alignment horizontal="right" wrapText="1"/>
    </xf>
    <xf numFmtId="1" fontId="5" fillId="5" borderId="1" xfId="0" applyNumberFormat="1" applyFont="1" applyFill="1" applyBorder="1" applyAlignment="1">
      <alignment horizontal="right" wrapText="1"/>
    </xf>
    <xf numFmtId="0" fontId="2" fillId="0" borderId="0" xfId="0" applyFont="1"/>
    <xf numFmtId="165" fontId="0" fillId="0" borderId="0" xfId="0" applyNumberFormat="1"/>
    <xf numFmtId="1" fontId="0" fillId="0" borderId="0" xfId="0" applyNumberFormat="1" applyFill="1" applyBorder="1"/>
    <xf numFmtId="1" fontId="0" fillId="0" borderId="0" xfId="0" applyNumberFormat="1" applyFill="1" applyBorder="1" applyAlignment="1">
      <alignment vertical="top" wrapText="1"/>
    </xf>
    <xf numFmtId="1" fontId="0" fillId="0" borderId="0" xfId="0" applyNumberFormat="1"/>
    <xf numFmtId="0" fontId="0" fillId="0" borderId="0" xfId="0" applyFill="1" applyBorder="1" applyAlignment="1"/>
    <xf numFmtId="0" fontId="9" fillId="4" borderId="0" xfId="0" applyFont="1" applyFill="1"/>
    <xf numFmtId="0" fontId="9" fillId="0" borderId="0" xfId="0" applyFont="1" applyAlignment="1">
      <alignment horizontal="center" vertical="center"/>
    </xf>
    <xf numFmtId="165" fontId="9" fillId="0" borderId="0" xfId="0" applyNumberFormat="1" applyFont="1"/>
    <xf numFmtId="164" fontId="9" fillId="0" borderId="0" xfId="0" applyNumberFormat="1" applyFont="1"/>
    <xf numFmtId="164" fontId="9" fillId="0" borderId="0" xfId="0" applyNumberFormat="1" applyFont="1" applyAlignment="1">
      <alignment horizontal="center" vertical="center"/>
    </xf>
    <xf numFmtId="165" fontId="7" fillId="0" borderId="0" xfId="0" applyNumberFormat="1" applyFont="1"/>
    <xf numFmtId="165" fontId="0" fillId="2" borderId="0" xfId="0" applyNumberFormat="1" applyFill="1"/>
    <xf numFmtId="164" fontId="7" fillId="2" borderId="0" xfId="0" applyNumberFormat="1" applyFont="1" applyFill="1"/>
    <xf numFmtId="164" fontId="0" fillId="2" borderId="0" xfId="0" applyNumberFormat="1" applyFill="1"/>
    <xf numFmtId="0" fontId="0" fillId="5" borderId="2" xfId="0" applyFill="1" applyBorder="1"/>
    <xf numFmtId="0" fontId="1" fillId="0" borderId="0" xfId="0" applyFont="1" applyFill="1" applyBorder="1"/>
    <xf numFmtId="1" fontId="0" fillId="0" borderId="1" xfId="0" applyNumberForma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 applyBorder="1"/>
    <xf numFmtId="164" fontId="0" fillId="2" borderId="0" xfId="0" applyNumberFormat="1" applyFill="1" applyBorder="1"/>
    <xf numFmtId="0" fontId="0" fillId="0" borderId="0" xfId="0" applyFill="1"/>
    <xf numFmtId="0" fontId="6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2B1C-EDFC-407D-8A14-5D834449FFFE}">
  <dimension ref="A1:R32"/>
  <sheetViews>
    <sheetView workbookViewId="0">
      <selection activeCell="T16" sqref="T16"/>
    </sheetView>
  </sheetViews>
  <sheetFormatPr defaultRowHeight="14.4" x14ac:dyDescent="0.3"/>
  <sheetData>
    <row r="1" spans="1:18" x14ac:dyDescent="0.3">
      <c r="A1" s="9" t="s">
        <v>75</v>
      </c>
      <c r="B1" s="9" t="s">
        <v>56</v>
      </c>
      <c r="J1" t="s">
        <v>75</v>
      </c>
    </row>
    <row r="2" spans="1:18" x14ac:dyDescent="0.3">
      <c r="A2" t="s">
        <v>65</v>
      </c>
      <c r="B2" s="7">
        <v>1</v>
      </c>
      <c r="C2">
        <v>23</v>
      </c>
      <c r="D2">
        <v>27.1</v>
      </c>
      <c r="E2">
        <v>22.7</v>
      </c>
      <c r="F2">
        <v>29.3</v>
      </c>
      <c r="J2" t="s">
        <v>193</v>
      </c>
      <c r="K2">
        <v>27.8</v>
      </c>
      <c r="L2">
        <v>21.5</v>
      </c>
      <c r="M2">
        <v>24.9</v>
      </c>
      <c r="N2">
        <v>27.8</v>
      </c>
      <c r="O2">
        <v>29</v>
      </c>
      <c r="P2">
        <v>24.2</v>
      </c>
      <c r="Q2">
        <v>30.3</v>
      </c>
      <c r="R2">
        <v>41.5</v>
      </c>
    </row>
    <row r="3" spans="1:18" x14ac:dyDescent="0.3">
      <c r="B3" s="9">
        <v>2</v>
      </c>
      <c r="C3">
        <v>15.7</v>
      </c>
      <c r="D3">
        <v>16.7</v>
      </c>
      <c r="E3">
        <v>15.2</v>
      </c>
      <c r="F3">
        <v>21.4</v>
      </c>
      <c r="J3" t="s">
        <v>64</v>
      </c>
      <c r="K3">
        <v>14</v>
      </c>
      <c r="L3">
        <v>22.2</v>
      </c>
      <c r="M3">
        <v>27.5</v>
      </c>
      <c r="N3">
        <v>20.9</v>
      </c>
      <c r="O3">
        <v>34.700000000000003</v>
      </c>
      <c r="P3">
        <v>26.6</v>
      </c>
    </row>
    <row r="4" spans="1:18" x14ac:dyDescent="0.3">
      <c r="B4">
        <v>3</v>
      </c>
      <c r="C4">
        <v>21.6</v>
      </c>
      <c r="D4">
        <v>31.1</v>
      </c>
      <c r="E4">
        <v>30.1</v>
      </c>
      <c r="F4">
        <v>23.4</v>
      </c>
      <c r="J4" t="s">
        <v>63</v>
      </c>
      <c r="K4">
        <v>40.799999999999997</v>
      </c>
      <c r="L4">
        <v>40.5</v>
      </c>
      <c r="M4">
        <v>44.8</v>
      </c>
      <c r="N4">
        <v>43.4</v>
      </c>
      <c r="O4">
        <v>40.700000000000003</v>
      </c>
    </row>
    <row r="5" spans="1:18" x14ac:dyDescent="0.3">
      <c r="B5">
        <v>4</v>
      </c>
      <c r="C5">
        <v>27.1</v>
      </c>
      <c r="D5">
        <v>30.7</v>
      </c>
      <c r="E5">
        <v>34.4</v>
      </c>
      <c r="F5">
        <v>35.5</v>
      </c>
      <c r="J5" t="s">
        <v>194</v>
      </c>
      <c r="K5">
        <v>47.3</v>
      </c>
      <c r="L5">
        <v>22.3</v>
      </c>
      <c r="M5">
        <v>27.1</v>
      </c>
      <c r="N5">
        <v>48.7</v>
      </c>
      <c r="O5">
        <v>20.9</v>
      </c>
      <c r="P5">
        <v>26.5</v>
      </c>
    </row>
    <row r="6" spans="1:18" x14ac:dyDescent="0.3">
      <c r="B6">
        <v>5</v>
      </c>
      <c r="C6">
        <v>35</v>
      </c>
      <c r="D6">
        <v>36.5</v>
      </c>
      <c r="E6">
        <v>26.3</v>
      </c>
      <c r="F6">
        <v>31.9</v>
      </c>
      <c r="J6" t="s">
        <v>195</v>
      </c>
      <c r="K6">
        <v>21.1</v>
      </c>
      <c r="L6">
        <v>29</v>
      </c>
      <c r="M6">
        <v>15.4</v>
      </c>
      <c r="N6">
        <v>16.100000000000001</v>
      </c>
      <c r="O6">
        <v>29.2</v>
      </c>
      <c r="P6">
        <v>14</v>
      </c>
      <c r="Q6">
        <v>14.5</v>
      </c>
    </row>
    <row r="7" spans="1:18" x14ac:dyDescent="0.3">
      <c r="A7" t="s">
        <v>66</v>
      </c>
      <c r="B7" s="7">
        <v>1</v>
      </c>
      <c r="C7">
        <v>39.1</v>
      </c>
      <c r="D7">
        <v>41.5</v>
      </c>
      <c r="E7">
        <v>39.6</v>
      </c>
      <c r="F7">
        <v>42.3</v>
      </c>
      <c r="G7">
        <v>28.8</v>
      </c>
      <c r="H7">
        <v>43.1</v>
      </c>
      <c r="J7" t="s">
        <v>196</v>
      </c>
      <c r="K7">
        <v>22.4</v>
      </c>
      <c r="L7">
        <v>25.2</v>
      </c>
      <c r="M7">
        <v>14.9</v>
      </c>
      <c r="N7">
        <v>16.5</v>
      </c>
      <c r="O7">
        <v>29.3</v>
      </c>
      <c r="P7">
        <v>29</v>
      </c>
      <c r="Q7">
        <v>22.3</v>
      </c>
    </row>
    <row r="8" spans="1:18" x14ac:dyDescent="0.3">
      <c r="B8" s="9">
        <v>2</v>
      </c>
      <c r="C8">
        <v>37.299999999999997</v>
      </c>
      <c r="D8">
        <v>41.4</v>
      </c>
      <c r="E8">
        <v>41.7</v>
      </c>
      <c r="F8">
        <v>43.7</v>
      </c>
      <c r="G8">
        <v>43.1</v>
      </c>
      <c r="H8">
        <v>43</v>
      </c>
      <c r="J8" t="s">
        <v>67</v>
      </c>
      <c r="K8">
        <v>15.3</v>
      </c>
      <c r="L8">
        <v>18.3</v>
      </c>
      <c r="M8">
        <v>12</v>
      </c>
      <c r="N8">
        <v>15.1</v>
      </c>
      <c r="O8">
        <v>13.6</v>
      </c>
    </row>
    <row r="9" spans="1:18" x14ac:dyDescent="0.3">
      <c r="B9">
        <v>3</v>
      </c>
      <c r="C9">
        <v>43</v>
      </c>
      <c r="D9">
        <v>47.6</v>
      </c>
      <c r="E9">
        <v>43.7</v>
      </c>
      <c r="F9">
        <v>39.200000000000003</v>
      </c>
      <c r="G9">
        <v>44.2</v>
      </c>
      <c r="H9">
        <v>44.8</v>
      </c>
      <c r="J9" t="s">
        <v>197</v>
      </c>
      <c r="K9">
        <v>18.600000000000001</v>
      </c>
      <c r="L9">
        <v>34.9</v>
      </c>
      <c r="M9">
        <v>27.3</v>
      </c>
      <c r="N9">
        <v>24</v>
      </c>
      <c r="O9">
        <v>27.5</v>
      </c>
      <c r="P9">
        <v>26.7</v>
      </c>
      <c r="Q9">
        <v>28</v>
      </c>
    </row>
    <row r="10" spans="1:18" x14ac:dyDescent="0.3">
      <c r="B10">
        <v>4</v>
      </c>
      <c r="C10">
        <v>45</v>
      </c>
      <c r="D10">
        <v>45.7</v>
      </c>
      <c r="E10">
        <v>48.8</v>
      </c>
      <c r="F10">
        <v>36.9</v>
      </c>
      <c r="G10">
        <v>50.5</v>
      </c>
      <c r="H10">
        <v>52</v>
      </c>
      <c r="J10" t="s">
        <v>198</v>
      </c>
      <c r="K10">
        <v>18.7</v>
      </c>
      <c r="L10">
        <v>24.1</v>
      </c>
      <c r="M10">
        <v>25.1</v>
      </c>
      <c r="N10">
        <v>26.6</v>
      </c>
      <c r="O10">
        <v>24.1</v>
      </c>
      <c r="P10">
        <v>21.1</v>
      </c>
    </row>
    <row r="11" spans="1:18" x14ac:dyDescent="0.3">
      <c r="B11">
        <v>5</v>
      </c>
      <c r="C11">
        <v>36.4</v>
      </c>
      <c r="D11">
        <v>47.4</v>
      </c>
      <c r="E11">
        <v>51.4</v>
      </c>
      <c r="F11">
        <v>56.7</v>
      </c>
      <c r="G11">
        <v>42.3</v>
      </c>
      <c r="H11">
        <v>41.6</v>
      </c>
      <c r="J11" t="s">
        <v>199</v>
      </c>
      <c r="K11">
        <v>24.9</v>
      </c>
      <c r="L11">
        <v>25.5</v>
      </c>
      <c r="M11">
        <v>24</v>
      </c>
      <c r="N11">
        <v>24.8</v>
      </c>
      <c r="O11">
        <v>24</v>
      </c>
      <c r="P11">
        <v>27.2</v>
      </c>
    </row>
    <row r="12" spans="1:18" x14ac:dyDescent="0.3">
      <c r="A12" s="1" t="s">
        <v>58</v>
      </c>
      <c r="B12" s="7">
        <v>1</v>
      </c>
      <c r="C12">
        <v>36.200000000000003</v>
      </c>
      <c r="D12">
        <v>31.3</v>
      </c>
      <c r="E12">
        <v>40</v>
      </c>
      <c r="F12">
        <v>37.700000000000003</v>
      </c>
      <c r="G12">
        <v>34.9</v>
      </c>
      <c r="H12">
        <v>37.299999999999997</v>
      </c>
      <c r="J12" t="s">
        <v>200</v>
      </c>
      <c r="K12">
        <v>11.5</v>
      </c>
      <c r="L12">
        <v>13.8</v>
      </c>
      <c r="M12">
        <v>10.199999999999999</v>
      </c>
      <c r="N12">
        <v>13.3</v>
      </c>
      <c r="O12">
        <v>13</v>
      </c>
      <c r="P12">
        <v>11.7</v>
      </c>
    </row>
    <row r="13" spans="1:18" x14ac:dyDescent="0.3">
      <c r="A13" s="1"/>
      <c r="B13" s="9">
        <v>2</v>
      </c>
      <c r="C13">
        <v>33.299999999999997</v>
      </c>
      <c r="D13">
        <v>42.5</v>
      </c>
      <c r="E13">
        <v>38.1</v>
      </c>
      <c r="F13">
        <v>33.5</v>
      </c>
      <c r="G13">
        <v>38.4</v>
      </c>
      <c r="H13">
        <v>36.299999999999997</v>
      </c>
      <c r="J13" t="s">
        <v>201</v>
      </c>
      <c r="K13">
        <v>21.2</v>
      </c>
      <c r="L13">
        <v>11.1</v>
      </c>
      <c r="M13">
        <v>12.9</v>
      </c>
      <c r="N13">
        <v>12.3</v>
      </c>
      <c r="O13">
        <v>11.8</v>
      </c>
      <c r="P13">
        <v>19.7</v>
      </c>
    </row>
    <row r="14" spans="1:18" x14ac:dyDescent="0.3">
      <c r="A14" s="1"/>
      <c r="B14">
        <v>3</v>
      </c>
      <c r="C14">
        <v>38.200000000000003</v>
      </c>
      <c r="D14">
        <v>44</v>
      </c>
      <c r="E14">
        <v>21.9</v>
      </c>
      <c r="F14">
        <v>40.799999999999997</v>
      </c>
      <c r="G14">
        <v>44.2</v>
      </c>
      <c r="H14">
        <v>50.2</v>
      </c>
      <c r="J14" t="s">
        <v>202</v>
      </c>
      <c r="K14">
        <v>28.3</v>
      </c>
      <c r="L14">
        <v>33.6</v>
      </c>
      <c r="M14">
        <v>29.1</v>
      </c>
      <c r="N14">
        <v>35.6</v>
      </c>
      <c r="O14">
        <v>28.6</v>
      </c>
      <c r="P14">
        <v>31.1</v>
      </c>
      <c r="Q14">
        <v>37.200000000000003</v>
      </c>
    </row>
    <row r="15" spans="1:18" x14ac:dyDescent="0.3">
      <c r="B15">
        <v>4</v>
      </c>
      <c r="C15">
        <v>30.6</v>
      </c>
      <c r="D15">
        <v>39.4</v>
      </c>
      <c r="E15">
        <v>44.1</v>
      </c>
      <c r="F15">
        <v>42.6</v>
      </c>
      <c r="G15">
        <v>49.2</v>
      </c>
      <c r="H15">
        <v>39.700000000000003</v>
      </c>
      <c r="J15" t="s">
        <v>203</v>
      </c>
      <c r="K15">
        <v>14.8</v>
      </c>
      <c r="L15">
        <v>15.4</v>
      </c>
      <c r="M15">
        <v>13.5</v>
      </c>
      <c r="N15">
        <v>11.3</v>
      </c>
      <c r="O15">
        <v>9.9</v>
      </c>
      <c r="P15">
        <v>8.6</v>
      </c>
      <c r="Q15">
        <v>12.2</v>
      </c>
    </row>
    <row r="16" spans="1:18" x14ac:dyDescent="0.3">
      <c r="B16">
        <v>5</v>
      </c>
      <c r="C16">
        <v>41.2</v>
      </c>
      <c r="D16">
        <v>47.8</v>
      </c>
      <c r="E16">
        <v>45</v>
      </c>
      <c r="F16">
        <v>38.299999999999997</v>
      </c>
      <c r="G16">
        <v>37.5</v>
      </c>
      <c r="H16">
        <v>45.5</v>
      </c>
      <c r="J16" t="s">
        <v>204</v>
      </c>
      <c r="K16">
        <v>35</v>
      </c>
      <c r="L16">
        <v>32.200000000000003</v>
      </c>
      <c r="M16">
        <v>33.9</v>
      </c>
      <c r="N16">
        <v>31.9</v>
      </c>
      <c r="O16">
        <v>31.3</v>
      </c>
      <c r="P16">
        <v>30</v>
      </c>
      <c r="Q16">
        <v>28.7</v>
      </c>
    </row>
    <row r="17" spans="1:17" x14ac:dyDescent="0.3">
      <c r="A17" t="s">
        <v>63</v>
      </c>
      <c r="B17" s="7">
        <v>1</v>
      </c>
      <c r="C17">
        <v>35.200000000000003</v>
      </c>
      <c r="D17">
        <v>48.9</v>
      </c>
      <c r="E17">
        <v>45.2</v>
      </c>
      <c r="F17">
        <v>40.1</v>
      </c>
      <c r="G17">
        <v>46.7</v>
      </c>
      <c r="H17">
        <v>45.2</v>
      </c>
      <c r="J17" t="s">
        <v>58</v>
      </c>
      <c r="K17">
        <v>36.299999999999997</v>
      </c>
      <c r="L17">
        <v>36.299999999999997</v>
      </c>
      <c r="M17">
        <v>36.1</v>
      </c>
      <c r="N17">
        <v>31.6</v>
      </c>
      <c r="O17">
        <v>34</v>
      </c>
      <c r="P17">
        <v>36.200000000000003</v>
      </c>
      <c r="Q17">
        <v>30.2</v>
      </c>
    </row>
    <row r="18" spans="1:17" x14ac:dyDescent="0.3">
      <c r="B18" s="9">
        <v>2</v>
      </c>
      <c r="C18">
        <v>52.9</v>
      </c>
      <c r="D18">
        <v>43.7</v>
      </c>
      <c r="E18">
        <v>35.6</v>
      </c>
      <c r="F18">
        <v>42.5</v>
      </c>
      <c r="G18">
        <v>44.7</v>
      </c>
      <c r="H18">
        <v>36.700000000000003</v>
      </c>
      <c r="J18" t="s">
        <v>66</v>
      </c>
      <c r="K18">
        <v>31.3</v>
      </c>
      <c r="L18">
        <v>30.6</v>
      </c>
      <c r="M18">
        <v>33.1</v>
      </c>
      <c r="N18">
        <v>39</v>
      </c>
      <c r="O18">
        <v>30</v>
      </c>
      <c r="P18">
        <v>30.3</v>
      </c>
      <c r="Q18">
        <v>35.4</v>
      </c>
    </row>
    <row r="19" spans="1:17" x14ac:dyDescent="0.3">
      <c r="B19">
        <v>3</v>
      </c>
      <c r="C19">
        <v>53</v>
      </c>
      <c r="D19">
        <v>53.2</v>
      </c>
      <c r="E19">
        <v>54.1</v>
      </c>
      <c r="F19">
        <v>59.8</v>
      </c>
      <c r="G19">
        <v>44.2</v>
      </c>
      <c r="H19">
        <v>54.1</v>
      </c>
      <c r="J19" t="s">
        <v>205</v>
      </c>
      <c r="K19">
        <v>17</v>
      </c>
      <c r="L19">
        <v>17.399999999999999</v>
      </c>
      <c r="M19">
        <v>19.8</v>
      </c>
      <c r="N19">
        <v>19</v>
      </c>
      <c r="O19">
        <v>22.4</v>
      </c>
      <c r="P19">
        <v>17.3</v>
      </c>
      <c r="Q19">
        <v>18.399999999999999</v>
      </c>
    </row>
    <row r="20" spans="1:17" x14ac:dyDescent="0.3">
      <c r="B20">
        <v>4</v>
      </c>
      <c r="C20">
        <v>50.9</v>
      </c>
      <c r="D20">
        <v>55</v>
      </c>
      <c r="E20">
        <v>50</v>
      </c>
      <c r="F20">
        <v>55.4</v>
      </c>
      <c r="G20">
        <v>63.9</v>
      </c>
      <c r="H20">
        <v>62.2</v>
      </c>
      <c r="J20" t="s">
        <v>206</v>
      </c>
      <c r="K20">
        <v>21.2</v>
      </c>
      <c r="L20">
        <v>57.1</v>
      </c>
      <c r="M20">
        <v>33.5</v>
      </c>
      <c r="N20">
        <v>34.700000000000003</v>
      </c>
      <c r="O20">
        <v>36.700000000000003</v>
      </c>
      <c r="P20">
        <v>46.3</v>
      </c>
      <c r="Q20">
        <v>37.6</v>
      </c>
    </row>
    <row r="21" spans="1:17" x14ac:dyDescent="0.3">
      <c r="B21">
        <v>5</v>
      </c>
      <c r="C21">
        <v>50.1</v>
      </c>
      <c r="D21">
        <v>58.8</v>
      </c>
      <c r="E21">
        <v>64.5</v>
      </c>
      <c r="F21">
        <v>71.900000000000006</v>
      </c>
      <c r="G21">
        <v>38.1</v>
      </c>
      <c r="H21">
        <v>57.2</v>
      </c>
      <c r="J21" t="s">
        <v>207</v>
      </c>
      <c r="K21">
        <v>9.8000000000000007</v>
      </c>
      <c r="L21">
        <v>11.7</v>
      </c>
      <c r="M21">
        <v>9.8000000000000007</v>
      </c>
      <c r="N21">
        <v>9.9</v>
      </c>
      <c r="O21">
        <v>9.8000000000000007</v>
      </c>
      <c r="P21">
        <v>9</v>
      </c>
    </row>
    <row r="22" spans="1:17" x14ac:dyDescent="0.3">
      <c r="A22" t="s">
        <v>64</v>
      </c>
      <c r="B22" s="7">
        <v>1</v>
      </c>
      <c r="C22">
        <v>27.8</v>
      </c>
      <c r="D22">
        <v>21.4</v>
      </c>
      <c r="E22">
        <v>23.9</v>
      </c>
      <c r="F22">
        <v>25.1</v>
      </c>
      <c r="G22">
        <v>35.4</v>
      </c>
      <c r="H22">
        <v>26.4</v>
      </c>
      <c r="J22" t="s">
        <v>208</v>
      </c>
      <c r="K22">
        <v>6.3</v>
      </c>
      <c r="L22">
        <v>10.199999999999999</v>
      </c>
      <c r="M22">
        <v>8.1</v>
      </c>
      <c r="N22">
        <v>10.4</v>
      </c>
      <c r="O22">
        <v>9.6999999999999993</v>
      </c>
    </row>
    <row r="23" spans="1:17" x14ac:dyDescent="0.3">
      <c r="B23" s="9">
        <v>2</v>
      </c>
      <c r="C23">
        <v>36.200000000000003</v>
      </c>
      <c r="D23">
        <v>36.700000000000003</v>
      </c>
      <c r="E23">
        <v>34.9</v>
      </c>
      <c r="F23">
        <v>30.6</v>
      </c>
      <c r="G23">
        <v>41.6</v>
      </c>
      <c r="H23">
        <v>35.1</v>
      </c>
      <c r="J23" t="s">
        <v>209</v>
      </c>
      <c r="K23">
        <v>9.4</v>
      </c>
      <c r="L23">
        <v>13.4</v>
      </c>
      <c r="M23">
        <v>15</v>
      </c>
      <c r="N23">
        <v>15.5</v>
      </c>
      <c r="O23">
        <v>17.600000000000001</v>
      </c>
    </row>
    <row r="24" spans="1:17" x14ac:dyDescent="0.3">
      <c r="B24">
        <v>3</v>
      </c>
      <c r="C24">
        <v>52.7</v>
      </c>
      <c r="D24">
        <v>79.900000000000006</v>
      </c>
      <c r="E24">
        <v>18.399999999999999</v>
      </c>
      <c r="F24">
        <v>42</v>
      </c>
      <c r="G24">
        <v>40.9</v>
      </c>
      <c r="H24">
        <v>24.9</v>
      </c>
      <c r="J24" t="s">
        <v>210</v>
      </c>
      <c r="K24">
        <v>9.8000000000000007</v>
      </c>
      <c r="L24">
        <v>10.9</v>
      </c>
      <c r="M24">
        <v>15.8</v>
      </c>
      <c r="N24">
        <v>14.2</v>
      </c>
      <c r="O24">
        <v>16.899999999999999</v>
      </c>
    </row>
    <row r="25" spans="1:17" x14ac:dyDescent="0.3">
      <c r="B25">
        <v>4</v>
      </c>
      <c r="C25">
        <v>28.5</v>
      </c>
      <c r="D25">
        <v>35.5</v>
      </c>
      <c r="E25">
        <v>47</v>
      </c>
      <c r="F25">
        <v>53</v>
      </c>
      <c r="G25">
        <v>43.2</v>
      </c>
      <c r="H25">
        <v>44.1</v>
      </c>
      <c r="J25" t="s">
        <v>211</v>
      </c>
      <c r="K25">
        <v>11.1</v>
      </c>
      <c r="L25">
        <v>11.3</v>
      </c>
      <c r="M25">
        <v>11.7</v>
      </c>
      <c r="N25">
        <v>10.8</v>
      </c>
      <c r="O25">
        <v>11.9</v>
      </c>
    </row>
    <row r="26" spans="1:17" x14ac:dyDescent="0.3">
      <c r="B26">
        <v>5</v>
      </c>
      <c r="C26">
        <v>33.299999999999997</v>
      </c>
      <c r="D26">
        <v>36.799999999999997</v>
      </c>
      <c r="E26">
        <v>30.9</v>
      </c>
      <c r="F26">
        <v>44.1</v>
      </c>
      <c r="G26">
        <v>35.1</v>
      </c>
      <c r="H26">
        <v>50.3</v>
      </c>
      <c r="J26" t="s">
        <v>212</v>
      </c>
      <c r="K26">
        <v>10.3</v>
      </c>
      <c r="L26">
        <v>11.9</v>
      </c>
      <c r="M26">
        <v>12.3</v>
      </c>
      <c r="N26">
        <v>12.7</v>
      </c>
      <c r="O26">
        <v>13.4</v>
      </c>
    </row>
    <row r="27" spans="1:17" x14ac:dyDescent="0.3">
      <c r="A27" t="s">
        <v>67</v>
      </c>
      <c r="B27" s="7">
        <v>1</v>
      </c>
      <c r="C27">
        <v>32.299999999999997</v>
      </c>
      <c r="D27">
        <v>25.4</v>
      </c>
      <c r="E27">
        <v>25.4</v>
      </c>
      <c r="F27">
        <v>17.899999999999999</v>
      </c>
      <c r="G27">
        <v>25.9</v>
      </c>
      <c r="H27">
        <v>38.6</v>
      </c>
    </row>
    <row r="28" spans="1:17" x14ac:dyDescent="0.3">
      <c r="B28" s="9">
        <v>2</v>
      </c>
      <c r="C28">
        <v>25.8</v>
      </c>
      <c r="D28">
        <v>33.6</v>
      </c>
      <c r="E28">
        <v>30.5</v>
      </c>
      <c r="F28">
        <v>19.7</v>
      </c>
      <c r="G28">
        <v>37.700000000000003</v>
      </c>
      <c r="H28">
        <v>73.400000000000006</v>
      </c>
    </row>
    <row r="29" spans="1:17" x14ac:dyDescent="0.3">
      <c r="B29">
        <v>3</v>
      </c>
      <c r="C29">
        <v>66</v>
      </c>
      <c r="D29">
        <v>37.6</v>
      </c>
      <c r="E29">
        <v>32.4</v>
      </c>
      <c r="F29">
        <v>39.1</v>
      </c>
      <c r="G29">
        <v>32.6</v>
      </c>
      <c r="H29">
        <v>49.6</v>
      </c>
    </row>
    <row r="30" spans="1:17" x14ac:dyDescent="0.3">
      <c r="B30">
        <v>4</v>
      </c>
      <c r="C30">
        <v>31.8</v>
      </c>
      <c r="D30">
        <v>35.200000000000003</v>
      </c>
      <c r="E30">
        <v>20.5</v>
      </c>
      <c r="F30">
        <v>46.1</v>
      </c>
      <c r="G30">
        <v>35.6</v>
      </c>
      <c r="H30">
        <v>31.4</v>
      </c>
    </row>
    <row r="31" spans="1:17" x14ac:dyDescent="0.3">
      <c r="B31">
        <v>5</v>
      </c>
      <c r="C31">
        <v>24.7</v>
      </c>
      <c r="D31">
        <v>27.8</v>
      </c>
      <c r="E31">
        <v>52.7</v>
      </c>
      <c r="F31">
        <v>32</v>
      </c>
      <c r="G31">
        <v>42.7</v>
      </c>
      <c r="H31">
        <v>42</v>
      </c>
    </row>
    <row r="32" spans="1:17" x14ac:dyDescent="0.3">
      <c r="A32" s="8"/>
      <c r="B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38AB-D44F-43C8-A264-A25D85BFBA2B}">
  <dimension ref="A1:W125"/>
  <sheetViews>
    <sheetView workbookViewId="0">
      <selection activeCell="Q11" sqref="Q11"/>
    </sheetView>
  </sheetViews>
  <sheetFormatPr defaultRowHeight="14.4" x14ac:dyDescent="0.3"/>
  <cols>
    <col min="2" max="2" width="15.44140625" bestFit="1" customWidth="1"/>
    <col min="3" max="3" width="10.77734375" bestFit="1" customWidth="1"/>
    <col min="10" max="10" width="36.21875" bestFit="1" customWidth="1"/>
  </cols>
  <sheetData>
    <row r="1" spans="1:13" x14ac:dyDescent="0.3">
      <c r="A1" t="s">
        <v>0</v>
      </c>
      <c r="B1" t="s">
        <v>3</v>
      </c>
      <c r="C1" t="s">
        <v>1</v>
      </c>
      <c r="D1" t="s">
        <v>2</v>
      </c>
      <c r="E1" t="s">
        <v>43</v>
      </c>
      <c r="F1" t="s">
        <v>11</v>
      </c>
      <c r="G1" t="s">
        <v>4</v>
      </c>
      <c r="H1" t="s">
        <v>5</v>
      </c>
      <c r="I1" t="s">
        <v>44</v>
      </c>
      <c r="J1" t="s">
        <v>6</v>
      </c>
    </row>
    <row r="2" spans="1:13" x14ac:dyDescent="0.3">
      <c r="A2" s="1">
        <v>46084</v>
      </c>
      <c r="C2">
        <v>1</v>
      </c>
      <c r="D2">
        <v>5.5</v>
      </c>
      <c r="F2">
        <v>2</v>
      </c>
      <c r="G2">
        <v>2</v>
      </c>
      <c r="H2">
        <v>2</v>
      </c>
      <c r="J2" t="s">
        <v>7</v>
      </c>
    </row>
    <row r="3" spans="1:13" x14ac:dyDescent="0.3">
      <c r="A3" s="1">
        <v>46101</v>
      </c>
      <c r="C3">
        <v>2.02</v>
      </c>
      <c r="E3">
        <v>14.5</v>
      </c>
      <c r="F3">
        <v>3.5</v>
      </c>
      <c r="G3">
        <v>3.5</v>
      </c>
      <c r="H3">
        <v>3.5</v>
      </c>
      <c r="I3">
        <v>2.7</v>
      </c>
      <c r="J3" t="s">
        <v>8</v>
      </c>
    </row>
    <row r="4" spans="1:13" x14ac:dyDescent="0.3">
      <c r="A4" s="1">
        <v>46102</v>
      </c>
      <c r="J4" t="s">
        <v>9</v>
      </c>
    </row>
    <row r="5" spans="1:13" x14ac:dyDescent="0.3">
      <c r="A5" s="1"/>
      <c r="J5" t="s">
        <v>10</v>
      </c>
    </row>
    <row r="7" spans="1:13" x14ac:dyDescent="0.3">
      <c r="A7" s="1">
        <v>46118</v>
      </c>
      <c r="B7" t="s">
        <v>61</v>
      </c>
      <c r="D7" t="s">
        <v>62</v>
      </c>
      <c r="F7" t="s">
        <v>68</v>
      </c>
      <c r="G7">
        <v>24.1</v>
      </c>
    </row>
    <row r="8" spans="1:13" ht="18" x14ac:dyDescent="0.3">
      <c r="A8" t="s">
        <v>55</v>
      </c>
      <c r="B8" t="s">
        <v>56</v>
      </c>
      <c r="C8" t="s">
        <v>57</v>
      </c>
      <c r="D8" s="18">
        <v>1</v>
      </c>
      <c r="E8" s="18">
        <v>2</v>
      </c>
      <c r="F8" s="18">
        <v>3</v>
      </c>
      <c r="G8" s="18">
        <v>4</v>
      </c>
      <c r="H8" s="18">
        <v>5</v>
      </c>
      <c r="I8" s="18">
        <v>6</v>
      </c>
      <c r="J8" s="19" t="s">
        <v>69</v>
      </c>
      <c r="K8" s="19" t="s">
        <v>70</v>
      </c>
      <c r="L8" s="20" t="s">
        <v>71</v>
      </c>
      <c r="M8" s="21" t="s">
        <v>72</v>
      </c>
    </row>
    <row r="9" spans="1:13" ht="18" x14ac:dyDescent="0.3">
      <c r="A9" t="s">
        <v>65</v>
      </c>
      <c r="B9" s="3" t="s">
        <v>256</v>
      </c>
      <c r="C9" t="s">
        <v>60</v>
      </c>
      <c r="D9">
        <v>2.09</v>
      </c>
      <c r="E9">
        <v>2.17</v>
      </c>
      <c r="F9">
        <v>2.14</v>
      </c>
      <c r="G9">
        <v>2.14</v>
      </c>
      <c r="J9" s="22">
        <f t="shared" ref="J9:J16" si="0">AVERAGE(D9:I9)</f>
        <v>2.1350000000000002</v>
      </c>
      <c r="K9" s="23">
        <f>STDEV(D9:I9)/SQRT(COUNT(D9:I9))</f>
        <v>1.6583123951777027E-2</v>
      </c>
      <c r="L9" s="23">
        <f>K9*100/J9</f>
        <v>0.7767271171792518</v>
      </c>
      <c r="M9" s="24">
        <f>STDEV(D9:I9)*100/J9</f>
        <v>1.5534542343585036</v>
      </c>
    </row>
    <row r="10" spans="1:13" ht="18" x14ac:dyDescent="0.3">
      <c r="B10" s="83" t="s">
        <v>255</v>
      </c>
      <c r="C10" t="s">
        <v>59</v>
      </c>
      <c r="D10">
        <v>9.5</v>
      </c>
      <c r="E10">
        <v>8</v>
      </c>
      <c r="F10">
        <v>7.8</v>
      </c>
      <c r="G10">
        <v>8.8000000000000007</v>
      </c>
      <c r="J10" s="22">
        <f t="shared" si="0"/>
        <v>8.5250000000000004</v>
      </c>
      <c r="K10" s="23">
        <f t="shared" ref="K10:K56" si="1">STDEV(D10:I10)/SQRT(COUNT(D10:I10))</f>
        <v>0.39024564913226995</v>
      </c>
      <c r="L10" s="23">
        <f t="shared" ref="L10:L56" si="2">K10*100/J10</f>
        <v>4.5776615733990607</v>
      </c>
      <c r="M10" s="24">
        <f t="shared" ref="M10:M56" si="3">STDEV(D10:I10)*100/J10</f>
        <v>9.1553231467981213</v>
      </c>
    </row>
    <row r="11" spans="1:13" ht="18" x14ac:dyDescent="0.3">
      <c r="B11">
        <v>3</v>
      </c>
      <c r="C11" t="s">
        <v>60</v>
      </c>
      <c r="D11">
        <v>2.13</v>
      </c>
      <c r="E11">
        <v>2.16</v>
      </c>
      <c r="F11">
        <v>2.15</v>
      </c>
      <c r="G11">
        <v>2.13</v>
      </c>
      <c r="J11" s="22">
        <f t="shared" si="0"/>
        <v>2.1425000000000001</v>
      </c>
      <c r="K11" s="23">
        <f t="shared" si="1"/>
        <v>7.50000000000005E-3</v>
      </c>
      <c r="L11" s="23">
        <f t="shared" si="2"/>
        <v>0.35005834305717853</v>
      </c>
      <c r="M11" s="24">
        <f t="shared" si="3"/>
        <v>0.70011668611435707</v>
      </c>
    </row>
    <row r="12" spans="1:13" ht="18" x14ac:dyDescent="0.3">
      <c r="C12" t="s">
        <v>59</v>
      </c>
      <c r="D12">
        <v>8.9</v>
      </c>
      <c r="E12">
        <v>10.199999999999999</v>
      </c>
      <c r="F12">
        <v>9</v>
      </c>
      <c r="G12">
        <v>8.5</v>
      </c>
      <c r="J12" s="22">
        <f t="shared" si="0"/>
        <v>9.15</v>
      </c>
      <c r="K12" s="23">
        <f t="shared" si="1"/>
        <v>0.36628768293059832</v>
      </c>
      <c r="L12" s="23">
        <f t="shared" si="2"/>
        <v>4.0031440757442445</v>
      </c>
      <c r="M12" s="24">
        <f t="shared" si="3"/>
        <v>8.0062881514884889</v>
      </c>
    </row>
    <row r="13" spans="1:13" ht="18" x14ac:dyDescent="0.3">
      <c r="B13">
        <v>4</v>
      </c>
      <c r="C13" t="s">
        <v>60</v>
      </c>
      <c r="D13">
        <v>2.16</v>
      </c>
      <c r="E13">
        <v>2.17</v>
      </c>
      <c r="F13">
        <v>2.08</v>
      </c>
      <c r="G13">
        <v>2.19</v>
      </c>
      <c r="J13" s="22">
        <f t="shared" si="0"/>
        <v>2.15</v>
      </c>
      <c r="K13" s="23">
        <f t="shared" si="1"/>
        <v>2.4152294576982373E-2</v>
      </c>
      <c r="L13" s="23">
        <f t="shared" si="2"/>
        <v>1.1233625384642965</v>
      </c>
      <c r="M13" s="24">
        <f t="shared" si="3"/>
        <v>2.2467250769285929</v>
      </c>
    </row>
    <row r="14" spans="1:13" ht="18" x14ac:dyDescent="0.3">
      <c r="C14" t="s">
        <v>59</v>
      </c>
      <c r="D14">
        <v>8.6999999999999993</v>
      </c>
      <c r="E14">
        <v>8.5</v>
      </c>
      <c r="F14">
        <v>11</v>
      </c>
      <c r="G14">
        <v>8.6999999999999993</v>
      </c>
      <c r="J14" s="22">
        <f t="shared" si="0"/>
        <v>9.2249999999999996</v>
      </c>
      <c r="K14" s="23">
        <f t="shared" si="1"/>
        <v>0.59354163010413041</v>
      </c>
      <c r="L14" s="23">
        <f t="shared" si="2"/>
        <v>6.4340556108848821</v>
      </c>
      <c r="M14" s="24">
        <f t="shared" si="3"/>
        <v>12.868111221769764</v>
      </c>
    </row>
    <row r="15" spans="1:13" ht="18" x14ac:dyDescent="0.3">
      <c r="B15">
        <v>5</v>
      </c>
      <c r="C15" t="s">
        <v>60</v>
      </c>
      <c r="D15">
        <v>2.12</v>
      </c>
      <c r="E15">
        <v>2.2000000000000002</v>
      </c>
      <c r="F15">
        <v>2.19</v>
      </c>
      <c r="G15">
        <v>2.17</v>
      </c>
      <c r="J15" s="22">
        <f t="shared" si="0"/>
        <v>2.17</v>
      </c>
      <c r="K15" s="23">
        <f t="shared" si="1"/>
        <v>1.779513042005218E-2</v>
      </c>
      <c r="L15" s="23">
        <f t="shared" si="2"/>
        <v>0.8200520930899623</v>
      </c>
      <c r="M15" s="24">
        <f t="shared" si="3"/>
        <v>1.6401041861799246</v>
      </c>
    </row>
    <row r="16" spans="1:13" ht="18" x14ac:dyDescent="0.3">
      <c r="C16" t="s">
        <v>59</v>
      </c>
      <c r="D16">
        <v>8.5</v>
      </c>
      <c r="E16">
        <v>7.5</v>
      </c>
      <c r="F16">
        <v>7.6</v>
      </c>
      <c r="G16">
        <v>9</v>
      </c>
      <c r="J16" s="22">
        <f t="shared" si="0"/>
        <v>8.15</v>
      </c>
      <c r="K16" s="23">
        <f t="shared" si="1"/>
        <v>0.36170890690351176</v>
      </c>
      <c r="L16" s="23">
        <f t="shared" si="2"/>
        <v>4.4381460969756041</v>
      </c>
      <c r="M16" s="24">
        <f t="shared" si="3"/>
        <v>8.8762921939512083</v>
      </c>
    </row>
    <row r="17" spans="1:13" ht="18" x14ac:dyDescent="0.3">
      <c r="A17" t="s">
        <v>66</v>
      </c>
      <c r="B17">
        <v>2</v>
      </c>
      <c r="C17" t="s">
        <v>60</v>
      </c>
      <c r="D17">
        <v>2.2000000000000002</v>
      </c>
      <c r="E17">
        <v>2.19</v>
      </c>
      <c r="F17">
        <v>2.16</v>
      </c>
      <c r="G17">
        <v>2.15</v>
      </c>
      <c r="H17">
        <v>2.14</v>
      </c>
      <c r="I17">
        <v>2.1800000000000002</v>
      </c>
      <c r="J17" s="22">
        <f>AVERAGE(D17:I17)</f>
        <v>2.1700000000000004</v>
      </c>
      <c r="K17" s="23">
        <f t="shared" si="1"/>
        <v>9.6609178307929689E-3</v>
      </c>
      <c r="L17" s="23">
        <f t="shared" si="2"/>
        <v>0.44520358667248694</v>
      </c>
      <c r="M17" s="24">
        <f t="shared" si="3"/>
        <v>1.0905216190045384</v>
      </c>
    </row>
    <row r="18" spans="1:13" ht="18" x14ac:dyDescent="0.3">
      <c r="C18" t="s">
        <v>59</v>
      </c>
      <c r="D18">
        <v>9.8000000000000007</v>
      </c>
      <c r="E18">
        <v>8.4</v>
      </c>
      <c r="F18">
        <v>9.5</v>
      </c>
      <c r="G18">
        <v>8.8000000000000007</v>
      </c>
      <c r="H18">
        <v>9.1999999999999993</v>
      </c>
      <c r="I18">
        <v>8.9</v>
      </c>
      <c r="J18" s="22">
        <f t="shared" ref="J18:J56" si="4">AVERAGE(D18:I18)</f>
        <v>9.1</v>
      </c>
      <c r="K18" s="23">
        <f t="shared" si="1"/>
        <v>0.2065591117977289</v>
      </c>
      <c r="L18" s="23">
        <f t="shared" si="2"/>
        <v>2.2698803494255921</v>
      </c>
      <c r="M18" s="24">
        <f t="shared" si="3"/>
        <v>5.5600486332630847</v>
      </c>
    </row>
    <row r="19" spans="1:13" ht="18" x14ac:dyDescent="0.3">
      <c r="B19">
        <v>3</v>
      </c>
      <c r="C19" t="s">
        <v>60</v>
      </c>
      <c r="D19">
        <v>2.23</v>
      </c>
      <c r="E19">
        <v>2.2000000000000002</v>
      </c>
      <c r="F19">
        <v>2.23</v>
      </c>
      <c r="G19">
        <v>2.25</v>
      </c>
      <c r="H19">
        <v>2.14</v>
      </c>
      <c r="I19">
        <v>2.17</v>
      </c>
      <c r="J19" s="22">
        <f t="shared" si="4"/>
        <v>2.2033333333333336</v>
      </c>
      <c r="K19" s="23">
        <f t="shared" si="1"/>
        <v>1.7061978522759622E-2</v>
      </c>
      <c r="L19" s="23">
        <f t="shared" si="2"/>
        <v>0.77437118862751675</v>
      </c>
      <c r="M19" s="24">
        <f t="shared" si="3"/>
        <v>1.89681428364992</v>
      </c>
    </row>
    <row r="20" spans="1:13" ht="18" x14ac:dyDescent="0.3">
      <c r="C20" t="s">
        <v>59</v>
      </c>
      <c r="D20">
        <v>8.1</v>
      </c>
      <c r="E20">
        <v>8.3000000000000007</v>
      </c>
      <c r="F20">
        <v>10</v>
      </c>
      <c r="G20">
        <v>9</v>
      </c>
      <c r="H20">
        <v>8.9</v>
      </c>
      <c r="I20">
        <v>7.6</v>
      </c>
      <c r="J20" s="22">
        <f t="shared" si="4"/>
        <v>8.65</v>
      </c>
      <c r="K20" s="23">
        <f t="shared" si="1"/>
        <v>0.34326860231214473</v>
      </c>
      <c r="L20" s="23">
        <f t="shared" si="2"/>
        <v>3.9684231481172803</v>
      </c>
      <c r="M20" s="24">
        <f t="shared" si="3"/>
        <v>9.7206117963366054</v>
      </c>
    </row>
    <row r="21" spans="1:13" ht="18" x14ac:dyDescent="0.3">
      <c r="B21">
        <v>4</v>
      </c>
      <c r="C21" t="s">
        <v>60</v>
      </c>
      <c r="D21">
        <v>2.13</v>
      </c>
      <c r="E21">
        <v>2.1800000000000002</v>
      </c>
      <c r="F21">
        <v>2.1</v>
      </c>
      <c r="G21">
        <v>2.1800000000000002</v>
      </c>
      <c r="H21">
        <v>2.14</v>
      </c>
      <c r="I21">
        <v>2.2000000000000002</v>
      </c>
      <c r="J21" s="22">
        <f t="shared" si="4"/>
        <v>2.1549999999999998</v>
      </c>
      <c r="K21" s="23">
        <f t="shared" si="1"/>
        <v>1.5438048235879243E-2</v>
      </c>
      <c r="L21" s="23">
        <f t="shared" si="2"/>
        <v>0.7163827487646981</v>
      </c>
      <c r="M21" s="24">
        <f t="shared" si="3"/>
        <v>1.7547721950059463</v>
      </c>
    </row>
    <row r="22" spans="1:13" ht="18" x14ac:dyDescent="0.3">
      <c r="C22" t="s">
        <v>59</v>
      </c>
      <c r="D22">
        <v>10</v>
      </c>
      <c r="E22">
        <v>7.6</v>
      </c>
      <c r="F22">
        <v>8.9</v>
      </c>
      <c r="G22">
        <v>8.9</v>
      </c>
      <c r="H22">
        <v>9.6</v>
      </c>
      <c r="I22">
        <v>9.4</v>
      </c>
      <c r="J22" s="22">
        <f t="shared" si="4"/>
        <v>9.0666666666666664</v>
      </c>
      <c r="K22" s="23">
        <f t="shared" si="1"/>
        <v>0.34026133747132931</v>
      </c>
      <c r="L22" s="23">
        <f t="shared" si="2"/>
        <v>3.7528823985808382</v>
      </c>
      <c r="M22" s="24">
        <f t="shared" si="3"/>
        <v>9.1926469411952905</v>
      </c>
    </row>
    <row r="23" spans="1:13" ht="18" x14ac:dyDescent="0.3">
      <c r="B23">
        <v>5</v>
      </c>
      <c r="C23" t="s">
        <v>60</v>
      </c>
      <c r="D23">
        <v>2.25</v>
      </c>
      <c r="E23">
        <v>2.25</v>
      </c>
      <c r="F23">
        <v>2.19</v>
      </c>
      <c r="G23">
        <v>2.21</v>
      </c>
      <c r="H23">
        <v>2.17</v>
      </c>
      <c r="I23">
        <v>2.15</v>
      </c>
      <c r="J23" s="22">
        <f t="shared" si="4"/>
        <v>2.2033333333333331</v>
      </c>
      <c r="K23" s="23">
        <f t="shared" si="1"/>
        <v>1.6865480854231375E-2</v>
      </c>
      <c r="L23" s="23">
        <f t="shared" si="2"/>
        <v>0.76545298884559954</v>
      </c>
      <c r="M23" s="24">
        <f t="shared" si="3"/>
        <v>1.8749692447600224</v>
      </c>
    </row>
    <row r="24" spans="1:13" ht="18" x14ac:dyDescent="0.3">
      <c r="C24" t="s">
        <v>59</v>
      </c>
      <c r="D24">
        <v>9.1</v>
      </c>
      <c r="E24">
        <v>7.6</v>
      </c>
      <c r="F24">
        <v>8.6</v>
      </c>
      <c r="G24">
        <v>7</v>
      </c>
      <c r="H24">
        <v>7.6</v>
      </c>
      <c r="I24">
        <v>7.9</v>
      </c>
      <c r="J24" s="22">
        <f t="shared" si="4"/>
        <v>7.9666666666666659</v>
      </c>
      <c r="K24" s="23">
        <f t="shared" si="1"/>
        <v>0.31055505863605642</v>
      </c>
      <c r="L24" s="23">
        <f t="shared" si="2"/>
        <v>3.8981806523354368</v>
      </c>
      <c r="M24" s="24">
        <f t="shared" si="3"/>
        <v>9.5485535234114884</v>
      </c>
    </row>
    <row r="25" spans="1:13" ht="18" x14ac:dyDescent="0.3">
      <c r="A25" s="1" t="s">
        <v>58</v>
      </c>
      <c r="B25">
        <v>2</v>
      </c>
      <c r="C25" t="s">
        <v>60</v>
      </c>
      <c r="D25">
        <v>2.14</v>
      </c>
      <c r="E25">
        <v>2.2599999999999998</v>
      </c>
      <c r="F25">
        <v>2.2000000000000002</v>
      </c>
      <c r="G25">
        <v>2.2000000000000002</v>
      </c>
      <c r="H25">
        <v>2.2000000000000002</v>
      </c>
      <c r="I25">
        <v>2.2200000000000002</v>
      </c>
      <c r="J25" s="22">
        <f t="shared" si="4"/>
        <v>2.2033333333333336</v>
      </c>
      <c r="K25" s="23">
        <f t="shared" si="1"/>
        <v>1.584648576533958E-2</v>
      </c>
      <c r="L25" s="23">
        <f t="shared" si="2"/>
        <v>0.71920510281420169</v>
      </c>
      <c r="M25" s="24">
        <f t="shared" si="3"/>
        <v>1.761685522300708</v>
      </c>
    </row>
    <row r="26" spans="1:13" ht="18" x14ac:dyDescent="0.3">
      <c r="A26" s="1"/>
      <c r="C26" t="s">
        <v>59</v>
      </c>
      <c r="D26">
        <v>10.5</v>
      </c>
      <c r="E26">
        <v>8.6</v>
      </c>
      <c r="F26">
        <v>9</v>
      </c>
      <c r="G26">
        <v>9.5</v>
      </c>
      <c r="H26">
        <v>9.1999999999999993</v>
      </c>
      <c r="I26">
        <v>8.5</v>
      </c>
      <c r="J26" s="22">
        <f t="shared" si="4"/>
        <v>9.2166666666666668</v>
      </c>
      <c r="K26" s="23">
        <f t="shared" si="1"/>
        <v>0.29823555194584778</v>
      </c>
      <c r="L26" s="23">
        <f t="shared" si="2"/>
        <v>3.2358287733726701</v>
      </c>
      <c r="M26" s="24">
        <f t="shared" si="3"/>
        <v>7.9261293897790273</v>
      </c>
    </row>
    <row r="27" spans="1:13" ht="18" x14ac:dyDescent="0.3">
      <c r="A27" s="1"/>
      <c r="B27">
        <v>3</v>
      </c>
      <c r="C27" t="s">
        <v>60</v>
      </c>
      <c r="D27">
        <v>2.2400000000000002</v>
      </c>
      <c r="E27">
        <v>2.2799999999999998</v>
      </c>
      <c r="F27">
        <v>2.2599999999999998</v>
      </c>
      <c r="G27">
        <v>2.2599999999999998</v>
      </c>
      <c r="H27">
        <v>2.23</v>
      </c>
      <c r="I27">
        <v>2.25</v>
      </c>
      <c r="J27" s="22">
        <f t="shared" si="4"/>
        <v>2.2533333333333334</v>
      </c>
      <c r="K27" s="23">
        <f t="shared" si="1"/>
        <v>7.1492035298423582E-3</v>
      </c>
      <c r="L27" s="23">
        <f t="shared" si="2"/>
        <v>0.31727234599892123</v>
      </c>
      <c r="M27" s="24">
        <f t="shared" si="3"/>
        <v>0.77715535719311291</v>
      </c>
    </row>
    <row r="28" spans="1:13" ht="18" x14ac:dyDescent="0.3">
      <c r="C28" t="s">
        <v>59</v>
      </c>
      <c r="D28">
        <v>7.5</v>
      </c>
      <c r="E28">
        <v>8.6</v>
      </c>
      <c r="F28">
        <v>7</v>
      </c>
      <c r="G28">
        <v>7.8</v>
      </c>
      <c r="H28">
        <v>8.9</v>
      </c>
      <c r="I28">
        <v>6.8</v>
      </c>
      <c r="J28" s="22">
        <f t="shared" si="4"/>
        <v>7.7666666666666666</v>
      </c>
      <c r="K28" s="23">
        <f t="shared" si="1"/>
        <v>0.34512477614786097</v>
      </c>
      <c r="L28" s="23">
        <f t="shared" si="2"/>
        <v>4.4436666456806133</v>
      </c>
      <c r="M28" s="24">
        <f t="shared" si="3"/>
        <v>10.884715868942394</v>
      </c>
    </row>
    <row r="29" spans="1:13" ht="18" x14ac:dyDescent="0.3">
      <c r="B29">
        <v>4</v>
      </c>
      <c r="C29" t="s">
        <v>60</v>
      </c>
      <c r="D29">
        <v>2.2599999999999998</v>
      </c>
      <c r="E29">
        <v>2.1800000000000002</v>
      </c>
      <c r="F29">
        <v>2.2000000000000002</v>
      </c>
      <c r="G29">
        <v>2.21</v>
      </c>
      <c r="H29">
        <v>2.1800000000000002</v>
      </c>
      <c r="I29">
        <v>2.14</v>
      </c>
      <c r="J29" s="22">
        <f t="shared" si="4"/>
        <v>2.1949999999999998</v>
      </c>
      <c r="K29" s="23">
        <f t="shared" si="1"/>
        <v>1.6278820596099659E-2</v>
      </c>
      <c r="L29" s="23">
        <f t="shared" si="2"/>
        <v>0.74163191781775217</v>
      </c>
      <c r="M29" s="24">
        <f t="shared" si="3"/>
        <v>1.8166197756152005</v>
      </c>
    </row>
    <row r="30" spans="1:13" ht="18" x14ac:dyDescent="0.3">
      <c r="C30" t="s">
        <v>59</v>
      </c>
      <c r="D30">
        <v>8.4</v>
      </c>
      <c r="E30">
        <v>8.6999999999999993</v>
      </c>
      <c r="F30">
        <v>9.1999999999999993</v>
      </c>
      <c r="G30">
        <v>8.6</v>
      </c>
      <c r="H30">
        <v>9.9</v>
      </c>
      <c r="I30">
        <v>10</v>
      </c>
      <c r="J30" s="22">
        <f t="shared" si="4"/>
        <v>9.1333333333333329</v>
      </c>
      <c r="K30" s="23">
        <f t="shared" si="1"/>
        <v>0.28007935383466681</v>
      </c>
      <c r="L30" s="23">
        <f t="shared" si="2"/>
        <v>3.0665622682627753</v>
      </c>
      <c r="M30" s="24">
        <f t="shared" si="3"/>
        <v>7.5115128217155851</v>
      </c>
    </row>
    <row r="31" spans="1:13" ht="18" x14ac:dyDescent="0.3">
      <c r="B31">
        <v>5</v>
      </c>
      <c r="C31" t="s">
        <v>60</v>
      </c>
      <c r="D31">
        <v>2.2599999999999998</v>
      </c>
      <c r="E31">
        <v>2.5499999999999998</v>
      </c>
      <c r="F31">
        <v>2.4900000000000002</v>
      </c>
      <c r="G31">
        <v>2.27</v>
      </c>
      <c r="H31">
        <v>2.46</v>
      </c>
      <c r="I31">
        <v>2.11</v>
      </c>
      <c r="J31" s="22">
        <f t="shared" si="4"/>
        <v>2.3566666666666669</v>
      </c>
      <c r="K31" s="23">
        <f t="shared" si="1"/>
        <v>6.9169678649278449E-2</v>
      </c>
      <c r="L31" s="23">
        <f t="shared" si="2"/>
        <v>2.9350641576780103</v>
      </c>
      <c r="M31" s="24">
        <f t="shared" si="3"/>
        <v>7.1894095486428338</v>
      </c>
    </row>
    <row r="32" spans="1:13" ht="18" x14ac:dyDescent="0.3">
      <c r="C32" t="s">
        <v>59</v>
      </c>
      <c r="D32">
        <v>8</v>
      </c>
      <c r="E32">
        <v>6.7</v>
      </c>
      <c r="F32">
        <v>8.1</v>
      </c>
      <c r="G32">
        <v>8.5</v>
      </c>
      <c r="H32">
        <v>5.6</v>
      </c>
      <c r="I32">
        <v>9.5</v>
      </c>
      <c r="J32" s="22">
        <f t="shared" si="4"/>
        <v>7.7333333333333334</v>
      </c>
      <c r="K32" s="23">
        <f t="shared" si="1"/>
        <v>0.56371781750959293</v>
      </c>
      <c r="L32" s="23">
        <f t="shared" si="2"/>
        <v>7.2894545367619772</v>
      </c>
      <c r="M32" s="24">
        <f t="shared" si="3"/>
        <v>17.855444118282765</v>
      </c>
    </row>
    <row r="33" spans="1:13" ht="18" x14ac:dyDescent="0.3">
      <c r="A33" t="s">
        <v>63</v>
      </c>
      <c r="B33">
        <v>2</v>
      </c>
      <c r="C33" t="s">
        <v>60</v>
      </c>
      <c r="D33">
        <v>2.2200000000000002</v>
      </c>
      <c r="E33">
        <v>2.2000000000000002</v>
      </c>
      <c r="F33">
        <v>2.29</v>
      </c>
      <c r="G33">
        <v>2.25</v>
      </c>
      <c r="H33">
        <v>2.34</v>
      </c>
      <c r="I33">
        <v>2.2599999999999998</v>
      </c>
      <c r="J33" s="22">
        <f t="shared" si="4"/>
        <v>2.2600000000000002</v>
      </c>
      <c r="K33" s="23">
        <f t="shared" si="1"/>
        <v>2.0493901531919153E-2</v>
      </c>
      <c r="L33" s="23">
        <f t="shared" si="2"/>
        <v>0.90680980229730757</v>
      </c>
      <c r="M33" s="24">
        <f t="shared" si="3"/>
        <v>2.221221309382496</v>
      </c>
    </row>
    <row r="34" spans="1:13" ht="18" x14ac:dyDescent="0.3">
      <c r="C34" t="s">
        <v>59</v>
      </c>
      <c r="D34">
        <v>9.1</v>
      </c>
      <c r="E34">
        <v>9.3000000000000007</v>
      </c>
      <c r="F34">
        <v>8.1999999999999993</v>
      </c>
      <c r="G34">
        <v>9.3000000000000007</v>
      </c>
      <c r="H34">
        <v>8.4</v>
      </c>
      <c r="I34">
        <v>9.5</v>
      </c>
      <c r="J34" s="22">
        <f t="shared" si="4"/>
        <v>8.9666666666666668</v>
      </c>
      <c r="K34" s="23">
        <f t="shared" si="1"/>
        <v>0.21858128414340017</v>
      </c>
      <c r="L34" s="23">
        <f t="shared" si="2"/>
        <v>2.4377094885881059</v>
      </c>
      <c r="M34" s="24">
        <f t="shared" si="3"/>
        <v>5.9711443881817923</v>
      </c>
    </row>
    <row r="35" spans="1:13" ht="18" x14ac:dyDescent="0.3">
      <c r="B35">
        <v>3</v>
      </c>
      <c r="C35" t="s">
        <v>60</v>
      </c>
      <c r="D35">
        <v>2.33</v>
      </c>
      <c r="E35">
        <v>2.31</v>
      </c>
      <c r="F35">
        <v>2.4</v>
      </c>
      <c r="G35">
        <v>2.6</v>
      </c>
      <c r="H35">
        <v>2.16</v>
      </c>
      <c r="I35">
        <v>2.5499999999999998</v>
      </c>
      <c r="J35" s="22">
        <f t="shared" si="4"/>
        <v>2.3916666666666671</v>
      </c>
      <c r="K35" s="23">
        <f t="shared" si="1"/>
        <v>6.6503968135576505E-2</v>
      </c>
      <c r="L35" s="23">
        <f t="shared" si="2"/>
        <v>2.7806537199544179</v>
      </c>
      <c r="M35" s="24">
        <f t="shared" si="3"/>
        <v>6.8111827652602335</v>
      </c>
    </row>
    <row r="36" spans="1:13" ht="18" x14ac:dyDescent="0.3">
      <c r="C36" t="s">
        <v>59</v>
      </c>
      <c r="D36">
        <v>9</v>
      </c>
      <c r="E36">
        <v>9.1</v>
      </c>
      <c r="F36">
        <v>8.1</v>
      </c>
      <c r="G36">
        <v>7</v>
      </c>
      <c r="H36">
        <v>10.1</v>
      </c>
      <c r="I36">
        <v>6.2</v>
      </c>
      <c r="J36" s="22">
        <f t="shared" si="4"/>
        <v>8.2500000000000018</v>
      </c>
      <c r="K36" s="23">
        <f t="shared" si="1"/>
        <v>0.59146710249457479</v>
      </c>
      <c r="L36" s="23">
        <f t="shared" si="2"/>
        <v>7.16929821205545</v>
      </c>
      <c r="M36" s="24">
        <f t="shared" si="3"/>
        <v>17.561122433383602</v>
      </c>
    </row>
    <row r="37" spans="1:13" ht="18" x14ac:dyDescent="0.3">
      <c r="B37">
        <v>4</v>
      </c>
      <c r="C37" t="s">
        <v>60</v>
      </c>
      <c r="D37">
        <v>2.2799999999999998</v>
      </c>
      <c r="E37">
        <v>2.2000000000000002</v>
      </c>
      <c r="F37">
        <v>2.3199999999999998</v>
      </c>
      <c r="G37">
        <v>2.2599999999999998</v>
      </c>
      <c r="H37">
        <v>2.36</v>
      </c>
      <c r="I37">
        <v>2.27</v>
      </c>
      <c r="J37" s="22">
        <f t="shared" si="4"/>
        <v>2.2816666666666667</v>
      </c>
      <c r="K37" s="23">
        <f t="shared" si="1"/>
        <v>2.227355182971745E-2</v>
      </c>
      <c r="L37" s="23">
        <f t="shared" si="2"/>
        <v>0.97619657398323378</v>
      </c>
      <c r="M37" s="24">
        <f t="shared" si="3"/>
        <v>2.3911834949120103</v>
      </c>
    </row>
    <row r="38" spans="1:13" ht="18" x14ac:dyDescent="0.3">
      <c r="C38" t="s">
        <v>59</v>
      </c>
      <c r="D38">
        <v>8.4</v>
      </c>
      <c r="E38">
        <v>10.5</v>
      </c>
      <c r="F38">
        <v>7.6</v>
      </c>
      <c r="G38">
        <v>8.4</v>
      </c>
      <c r="H38">
        <v>6</v>
      </c>
      <c r="I38">
        <v>8.1</v>
      </c>
      <c r="J38" s="22">
        <f t="shared" si="4"/>
        <v>8.1666666666666661</v>
      </c>
      <c r="K38" s="23">
        <f t="shared" si="1"/>
        <v>0.59367031629048472</v>
      </c>
      <c r="L38" s="23">
        <f t="shared" si="2"/>
        <v>7.2694324443732823</v>
      </c>
      <c r="M38" s="24">
        <f t="shared" si="3"/>
        <v>17.806400208347601</v>
      </c>
    </row>
    <row r="39" spans="1:13" ht="18" x14ac:dyDescent="0.3">
      <c r="B39">
        <v>5</v>
      </c>
      <c r="C39" t="s">
        <v>60</v>
      </c>
      <c r="D39">
        <v>2.2799999999999998</v>
      </c>
      <c r="E39">
        <v>2.48</v>
      </c>
      <c r="F39">
        <v>2.5099999999999998</v>
      </c>
      <c r="G39">
        <v>2.3199999999999998</v>
      </c>
      <c r="H39">
        <v>2.4700000000000002</v>
      </c>
      <c r="I39">
        <v>2.38</v>
      </c>
      <c r="J39" s="22">
        <f t="shared" si="4"/>
        <v>2.4066666666666667</v>
      </c>
      <c r="K39" s="23">
        <f t="shared" si="1"/>
        <v>3.8441875315569349E-2</v>
      </c>
      <c r="L39" s="23">
        <f t="shared" si="2"/>
        <v>1.5973078385970643</v>
      </c>
      <c r="M39" s="24">
        <f t="shared" si="3"/>
        <v>3.9125891667106765</v>
      </c>
    </row>
    <row r="40" spans="1:13" ht="18" x14ac:dyDescent="0.3">
      <c r="C40" t="s">
        <v>59</v>
      </c>
      <c r="D40">
        <v>7</v>
      </c>
      <c r="E40">
        <v>6.3</v>
      </c>
      <c r="F40">
        <v>6.5</v>
      </c>
      <c r="G40">
        <v>7.9</v>
      </c>
      <c r="H40">
        <v>5.2</v>
      </c>
      <c r="I40">
        <v>7.7</v>
      </c>
      <c r="J40" s="22">
        <f t="shared" si="4"/>
        <v>6.7666666666666684</v>
      </c>
      <c r="K40" s="23">
        <f t="shared" si="1"/>
        <v>0.40633866553788445</v>
      </c>
      <c r="L40" s="23">
        <f t="shared" si="2"/>
        <v>6.0050049094268623</v>
      </c>
      <c r="M40" s="24">
        <f t="shared" si="3"/>
        <v>14.709197931003725</v>
      </c>
    </row>
    <row r="41" spans="1:13" ht="18" x14ac:dyDescent="0.3">
      <c r="A41" t="s">
        <v>64</v>
      </c>
      <c r="B41">
        <v>2</v>
      </c>
      <c r="C41" t="s">
        <v>60</v>
      </c>
      <c r="D41">
        <v>2.14</v>
      </c>
      <c r="E41">
        <v>2.19</v>
      </c>
      <c r="F41">
        <v>2.2000000000000002</v>
      </c>
      <c r="G41">
        <v>2.1800000000000002</v>
      </c>
      <c r="H41">
        <v>2.2599999999999998</v>
      </c>
      <c r="I41">
        <v>2.12</v>
      </c>
      <c r="J41" s="22">
        <f t="shared" si="4"/>
        <v>2.1816666666666666</v>
      </c>
      <c r="K41" s="23">
        <f t="shared" si="1"/>
        <v>2.0069324297987117E-2</v>
      </c>
      <c r="L41" s="23">
        <f t="shared" si="2"/>
        <v>0.91990791281835527</v>
      </c>
      <c r="M41" s="24">
        <f t="shared" si="3"/>
        <v>2.2533049967536432</v>
      </c>
    </row>
    <row r="42" spans="1:13" ht="18" x14ac:dyDescent="0.3">
      <c r="C42" t="s">
        <v>59</v>
      </c>
      <c r="D42">
        <v>10.5</v>
      </c>
      <c r="E42">
        <v>8.6</v>
      </c>
      <c r="F42">
        <v>10.1</v>
      </c>
      <c r="G42">
        <v>9.9</v>
      </c>
      <c r="H42">
        <v>8</v>
      </c>
      <c r="I42">
        <v>8.4</v>
      </c>
      <c r="J42" s="22">
        <f t="shared" si="4"/>
        <v>9.25</v>
      </c>
      <c r="K42" s="23">
        <f t="shared" si="1"/>
        <v>0.42485291572495859</v>
      </c>
      <c r="L42" s="23">
        <f t="shared" si="2"/>
        <v>4.5930044943238766</v>
      </c>
      <c r="M42" s="24">
        <f t="shared" si="3"/>
        <v>11.250517397403373</v>
      </c>
    </row>
    <row r="43" spans="1:13" ht="18" x14ac:dyDescent="0.3">
      <c r="B43">
        <v>3</v>
      </c>
      <c r="C43" t="s">
        <v>60</v>
      </c>
      <c r="D43">
        <v>2.2999999999999998</v>
      </c>
      <c r="E43">
        <v>2.6</v>
      </c>
      <c r="F43">
        <v>2.21</v>
      </c>
      <c r="G43">
        <v>2.2400000000000002</v>
      </c>
      <c r="H43">
        <v>2.2000000000000002</v>
      </c>
      <c r="I43">
        <v>2.19</v>
      </c>
      <c r="J43" s="22">
        <f t="shared" si="4"/>
        <v>2.29</v>
      </c>
      <c r="K43" s="23">
        <f t="shared" si="1"/>
        <v>6.4083279150388889E-2</v>
      </c>
      <c r="L43" s="23">
        <f t="shared" si="2"/>
        <v>2.7983964694492967</v>
      </c>
      <c r="M43" s="24">
        <f t="shared" si="3"/>
        <v>6.8546434481567111</v>
      </c>
    </row>
    <row r="44" spans="1:13" ht="18" x14ac:dyDescent="0.3">
      <c r="C44" t="s">
        <v>59</v>
      </c>
      <c r="D44">
        <v>7.4</v>
      </c>
      <c r="E44">
        <v>6.2</v>
      </c>
      <c r="F44">
        <v>9.3000000000000007</v>
      </c>
      <c r="G44">
        <v>9</v>
      </c>
      <c r="H44">
        <v>8.8000000000000007</v>
      </c>
      <c r="I44">
        <v>8.6</v>
      </c>
      <c r="J44" s="22">
        <f t="shared" si="4"/>
        <v>8.2166666666666668</v>
      </c>
      <c r="K44" s="23">
        <f t="shared" si="1"/>
        <v>0.48333333333333311</v>
      </c>
      <c r="L44" s="23">
        <f t="shared" si="2"/>
        <v>5.8823529411764683</v>
      </c>
      <c r="M44" s="24">
        <f t="shared" si="3"/>
        <v>14.408763192842217</v>
      </c>
    </row>
    <row r="45" spans="1:13" ht="18" x14ac:dyDescent="0.3">
      <c r="B45">
        <v>4</v>
      </c>
      <c r="C45" t="s">
        <v>60</v>
      </c>
      <c r="D45">
        <v>2.2000000000000002</v>
      </c>
      <c r="E45">
        <v>2.14</v>
      </c>
      <c r="F45">
        <v>2.23</v>
      </c>
      <c r="G45">
        <v>2.15</v>
      </c>
      <c r="H45">
        <v>2.2000000000000002</v>
      </c>
      <c r="I45">
        <v>2.27</v>
      </c>
      <c r="J45" s="22">
        <f t="shared" si="4"/>
        <v>2.1983333333333337</v>
      </c>
      <c r="K45" s="23">
        <f t="shared" si="1"/>
        <v>1.9902540318037568E-2</v>
      </c>
      <c r="L45" s="23">
        <f t="shared" si="2"/>
        <v>0.90534679232922965</v>
      </c>
      <c r="M45" s="24">
        <f t="shared" si="3"/>
        <v>2.2176376814720999</v>
      </c>
    </row>
    <row r="46" spans="1:13" ht="18" x14ac:dyDescent="0.3">
      <c r="C46" t="s">
        <v>59</v>
      </c>
      <c r="D46">
        <v>9</v>
      </c>
      <c r="E46">
        <v>8.3000000000000007</v>
      </c>
      <c r="F46">
        <v>7.2</v>
      </c>
      <c r="G46">
        <v>9.6999999999999993</v>
      </c>
      <c r="H46">
        <v>6.9</v>
      </c>
      <c r="I46">
        <v>7.6</v>
      </c>
      <c r="J46" s="22">
        <f t="shared" si="4"/>
        <v>8.1166666666666671</v>
      </c>
      <c r="K46" s="23">
        <f t="shared" si="1"/>
        <v>0.4437842318564772</v>
      </c>
      <c r="L46" s="23">
        <f t="shared" si="2"/>
        <v>5.467567538272819</v>
      </c>
      <c r="M46" s="24">
        <f t="shared" si="3"/>
        <v>13.392750602973541</v>
      </c>
    </row>
    <row r="47" spans="1:13" ht="18" x14ac:dyDescent="0.3">
      <c r="B47">
        <v>5</v>
      </c>
      <c r="C47" t="s">
        <v>60</v>
      </c>
      <c r="D47">
        <v>2.2400000000000002</v>
      </c>
      <c r="E47">
        <v>2.2200000000000002</v>
      </c>
      <c r="F47">
        <v>2.23</v>
      </c>
      <c r="G47">
        <v>2.46</v>
      </c>
      <c r="H47">
        <v>2.16</v>
      </c>
      <c r="I47">
        <v>2.14</v>
      </c>
      <c r="J47" s="22">
        <f t="shared" si="4"/>
        <v>2.2416666666666671</v>
      </c>
      <c r="K47" s="23">
        <f t="shared" si="1"/>
        <v>4.6648806105956335E-2</v>
      </c>
      <c r="L47" s="23">
        <f t="shared" si="2"/>
        <v>2.0809876329794643</v>
      </c>
      <c r="M47" s="24">
        <f t="shared" si="3"/>
        <v>5.0973578618418429</v>
      </c>
    </row>
    <row r="48" spans="1:13" ht="18" x14ac:dyDescent="0.3">
      <c r="C48" t="s">
        <v>59</v>
      </c>
      <c r="D48">
        <v>8.8000000000000007</v>
      </c>
      <c r="E48">
        <v>7.9</v>
      </c>
      <c r="F48">
        <v>7</v>
      </c>
      <c r="G48">
        <v>6</v>
      </c>
      <c r="H48">
        <v>8.1999999999999993</v>
      </c>
      <c r="I48">
        <v>9.5</v>
      </c>
      <c r="J48" s="22">
        <f t="shared" si="4"/>
        <v>7.9000000000000012</v>
      </c>
      <c r="K48" s="23">
        <f t="shared" si="1"/>
        <v>0.51251016250086656</v>
      </c>
      <c r="L48" s="23">
        <f t="shared" si="2"/>
        <v>6.4874704114033737</v>
      </c>
      <c r="M48" s="24">
        <f t="shared" si="3"/>
        <v>15.890992229341926</v>
      </c>
    </row>
    <row r="49" spans="1:23" ht="18" x14ac:dyDescent="0.3">
      <c r="A49" t="s">
        <v>67</v>
      </c>
      <c r="B49">
        <v>2</v>
      </c>
      <c r="C49" t="s">
        <v>60</v>
      </c>
      <c r="D49">
        <v>2.27</v>
      </c>
      <c r="E49">
        <v>2.17</v>
      </c>
      <c r="F49">
        <v>2.19</v>
      </c>
      <c r="G49">
        <v>2.2000000000000002</v>
      </c>
      <c r="H49">
        <v>2.2000000000000002</v>
      </c>
      <c r="I49">
        <v>2.14</v>
      </c>
      <c r="J49" s="22">
        <f t="shared" si="4"/>
        <v>2.1949999999999998</v>
      </c>
      <c r="K49" s="23">
        <f t="shared" si="1"/>
        <v>1.7654083569153812E-2</v>
      </c>
      <c r="L49" s="23">
        <f t="shared" si="2"/>
        <v>0.80428626738741738</v>
      </c>
      <c r="M49" s="24">
        <f t="shared" si="3"/>
        <v>1.9700909622268474</v>
      </c>
    </row>
    <row r="50" spans="1:23" ht="18" x14ac:dyDescent="0.3">
      <c r="C50" t="s">
        <v>59</v>
      </c>
      <c r="D50">
        <v>9</v>
      </c>
      <c r="E50">
        <v>9.6</v>
      </c>
      <c r="F50">
        <v>9</v>
      </c>
      <c r="G50">
        <v>8.6</v>
      </c>
      <c r="H50">
        <v>8.5</v>
      </c>
      <c r="I50">
        <v>8.6</v>
      </c>
      <c r="J50" s="22">
        <f t="shared" si="4"/>
        <v>8.8833333333333346</v>
      </c>
      <c r="K50" s="23">
        <f t="shared" si="1"/>
        <v>0.16815997674172584</v>
      </c>
      <c r="L50" s="23">
        <f t="shared" si="2"/>
        <v>1.8929828526273074</v>
      </c>
      <c r="M50" s="24">
        <f t="shared" si="3"/>
        <v>4.6368420807750299</v>
      </c>
    </row>
    <row r="51" spans="1:23" ht="18" x14ac:dyDescent="0.3">
      <c r="B51">
        <v>3</v>
      </c>
      <c r="C51" t="s">
        <v>60</v>
      </c>
      <c r="D51">
        <v>2.33</v>
      </c>
      <c r="E51">
        <v>2.25</v>
      </c>
      <c r="F51">
        <v>2.33</v>
      </c>
      <c r="G51">
        <v>2.27</v>
      </c>
      <c r="H51">
        <v>2.23</v>
      </c>
      <c r="I51">
        <v>2.2599999999999998</v>
      </c>
      <c r="J51" s="22">
        <f t="shared" si="4"/>
        <v>2.2783333333333333</v>
      </c>
      <c r="K51" s="23">
        <f t="shared" si="1"/>
        <v>1.7207879332187103E-2</v>
      </c>
      <c r="L51" s="23">
        <f t="shared" si="2"/>
        <v>0.75528365759416694</v>
      </c>
      <c r="M51" s="24">
        <f t="shared" si="3"/>
        <v>1.8500595721686737</v>
      </c>
    </row>
    <row r="52" spans="1:23" ht="18" x14ac:dyDescent="0.3">
      <c r="C52" t="s">
        <v>59</v>
      </c>
      <c r="D52">
        <v>7.3</v>
      </c>
      <c r="E52">
        <v>9.1999999999999993</v>
      </c>
      <c r="F52">
        <v>7.6</v>
      </c>
      <c r="G52">
        <v>8</v>
      </c>
      <c r="H52">
        <v>7.8</v>
      </c>
      <c r="I52">
        <v>7.1</v>
      </c>
      <c r="J52" s="22">
        <f t="shared" si="4"/>
        <v>7.833333333333333</v>
      </c>
      <c r="K52" s="23">
        <f t="shared" si="1"/>
        <v>0.30404678002643676</v>
      </c>
      <c r="L52" s="23">
        <f t="shared" si="2"/>
        <v>3.8814482556566392</v>
      </c>
      <c r="M52" s="24">
        <f t="shared" si="3"/>
        <v>9.5075676893745964</v>
      </c>
    </row>
    <row r="53" spans="1:23" ht="18" x14ac:dyDescent="0.3">
      <c r="B53">
        <v>4</v>
      </c>
      <c r="C53" t="s">
        <v>60</v>
      </c>
      <c r="D53">
        <v>2.14</v>
      </c>
      <c r="E53">
        <v>2.13</v>
      </c>
      <c r="F53">
        <v>2.09</v>
      </c>
      <c r="G53">
        <v>2.2799999999999998</v>
      </c>
      <c r="H53">
        <v>2.16</v>
      </c>
      <c r="I53">
        <v>2.12</v>
      </c>
      <c r="J53" s="22">
        <f t="shared" si="4"/>
        <v>2.1533333333333329</v>
      </c>
      <c r="K53" s="23">
        <f t="shared" si="1"/>
        <v>2.7039066387564308E-2</v>
      </c>
      <c r="L53" s="23">
        <f t="shared" si="2"/>
        <v>1.2556841975649062</v>
      </c>
      <c r="M53" s="24">
        <f t="shared" si="3"/>
        <v>3.0757855621101635</v>
      </c>
    </row>
    <row r="54" spans="1:23" ht="18" x14ac:dyDescent="0.3">
      <c r="C54" t="s">
        <v>59</v>
      </c>
      <c r="D54">
        <v>8.6</v>
      </c>
      <c r="E54">
        <v>8</v>
      </c>
      <c r="F54">
        <v>8.5</v>
      </c>
      <c r="G54">
        <v>8</v>
      </c>
      <c r="H54">
        <v>9.4</v>
      </c>
      <c r="I54">
        <v>7.8</v>
      </c>
      <c r="J54" s="22">
        <f t="shared" si="4"/>
        <v>8.3833333333333329</v>
      </c>
      <c r="K54" s="23">
        <f t="shared" si="1"/>
        <v>0.24002314703192928</v>
      </c>
      <c r="L54" s="23">
        <f t="shared" si="2"/>
        <v>2.8630991693669499</v>
      </c>
      <c r="M54" s="24">
        <f t="shared" si="3"/>
        <v>7.0131320479353807</v>
      </c>
    </row>
    <row r="55" spans="1:23" ht="18" x14ac:dyDescent="0.3">
      <c r="B55">
        <v>5</v>
      </c>
      <c r="C55" t="s">
        <v>60</v>
      </c>
      <c r="D55">
        <v>2.2400000000000002</v>
      </c>
      <c r="E55">
        <v>2.36</v>
      </c>
      <c r="F55">
        <v>2.35</v>
      </c>
      <c r="G55">
        <v>2.33</v>
      </c>
      <c r="H55">
        <v>2.2999999999999998</v>
      </c>
      <c r="I55">
        <v>2.23</v>
      </c>
      <c r="J55" s="22">
        <f t="shared" si="4"/>
        <v>2.3016666666666663</v>
      </c>
      <c r="K55" s="23">
        <f t="shared" si="1"/>
        <v>2.2718078948518301E-2</v>
      </c>
      <c r="L55" s="23">
        <f t="shared" si="2"/>
        <v>0.98702732578645791</v>
      </c>
      <c r="M55" s="24">
        <f t="shared" si="3"/>
        <v>2.4177133103606385</v>
      </c>
    </row>
    <row r="56" spans="1:23" ht="18" x14ac:dyDescent="0.3">
      <c r="C56" t="s">
        <v>59</v>
      </c>
      <c r="D56">
        <v>9.4</v>
      </c>
      <c r="E56">
        <v>7.6</v>
      </c>
      <c r="F56">
        <v>6.5</v>
      </c>
      <c r="G56">
        <v>7.8</v>
      </c>
      <c r="H56">
        <v>7.2</v>
      </c>
      <c r="I56">
        <v>9.1</v>
      </c>
      <c r="J56" s="22">
        <f t="shared" si="4"/>
        <v>7.9333333333333336</v>
      </c>
      <c r="K56" s="23">
        <f t="shared" si="1"/>
        <v>0.45582647770590995</v>
      </c>
      <c r="L56" s="23">
        <f t="shared" si="2"/>
        <v>5.7457119038560078</v>
      </c>
      <c r="M56" s="24">
        <f t="shared" si="3"/>
        <v>14.074062373482496</v>
      </c>
    </row>
    <row r="58" spans="1:23" x14ac:dyDescent="0.3">
      <c r="A58" s="1">
        <v>46120</v>
      </c>
      <c r="B58" t="s">
        <v>73</v>
      </c>
    </row>
    <row r="59" spans="1:23" x14ac:dyDescent="0.3">
      <c r="A59" s="1">
        <v>46129</v>
      </c>
    </row>
    <row r="60" spans="1:23" ht="18" x14ac:dyDescent="0.3">
      <c r="A60" t="s">
        <v>55</v>
      </c>
      <c r="B60" t="s">
        <v>56</v>
      </c>
      <c r="C60" t="s">
        <v>57</v>
      </c>
      <c r="D60" s="18">
        <v>1</v>
      </c>
      <c r="E60" s="18">
        <v>2</v>
      </c>
      <c r="F60" s="18">
        <v>3</v>
      </c>
      <c r="G60" s="18">
        <v>4</v>
      </c>
      <c r="H60" s="18">
        <v>5</v>
      </c>
      <c r="I60" s="18">
        <v>6</v>
      </c>
      <c r="J60" s="19" t="s">
        <v>69</v>
      </c>
      <c r="K60" s="19" t="s">
        <v>70</v>
      </c>
      <c r="L60" s="20" t="s">
        <v>71</v>
      </c>
      <c r="M60" s="21" t="s">
        <v>72</v>
      </c>
    </row>
    <row r="61" spans="1:23" ht="18" x14ac:dyDescent="0.3">
      <c r="A61" t="s">
        <v>65</v>
      </c>
      <c r="B61">
        <v>2</v>
      </c>
      <c r="C61" t="s">
        <v>60</v>
      </c>
      <c r="D61">
        <v>2.0699999999999998</v>
      </c>
      <c r="E61">
        <v>2.16</v>
      </c>
      <c r="F61">
        <v>2.27</v>
      </c>
      <c r="G61">
        <v>2.21</v>
      </c>
      <c r="J61" s="22">
        <f t="shared" ref="J61:J68" si="5">AVERAGE(D61:I61)</f>
        <v>2.1775000000000002</v>
      </c>
      <c r="K61" s="23">
        <f>STDEV(D61:I61)/SQRT(COUNT(D61:I61))</f>
        <v>4.2303467154990212E-2</v>
      </c>
      <c r="L61" s="23">
        <f>K61*100/J61</f>
        <v>1.9427539451201012</v>
      </c>
      <c r="M61" s="24">
        <f>STDEV(D61:I61)*100/J61</f>
        <v>3.8855078902402025</v>
      </c>
      <c r="N61">
        <v>1</v>
      </c>
      <c r="O61" t="s">
        <v>83</v>
      </c>
      <c r="P61">
        <v>2.13</v>
      </c>
    </row>
    <row r="62" spans="1:23" ht="18" x14ac:dyDescent="0.3">
      <c r="C62" t="s">
        <v>59</v>
      </c>
      <c r="D62">
        <v>7.8</v>
      </c>
      <c r="E62">
        <v>7.3</v>
      </c>
      <c r="F62">
        <v>3.6</v>
      </c>
      <c r="G62">
        <v>6.7</v>
      </c>
      <c r="J62" s="22">
        <f t="shared" si="5"/>
        <v>6.35</v>
      </c>
      <c r="K62" s="23">
        <f t="shared" ref="K62:K121" si="6">STDEV(D62:I62)/SQRT(COUNT(D62:I62))</f>
        <v>0.94383967565118576</v>
      </c>
      <c r="L62" s="23">
        <f t="shared" ref="L62:L121" si="7">K62*100/J62</f>
        <v>14.863616939388754</v>
      </c>
      <c r="M62" s="24">
        <f t="shared" ref="M62:M121" si="8">STDEV(D62:I62)*100/J62</f>
        <v>29.727233878777508</v>
      </c>
      <c r="O62" t="s">
        <v>84</v>
      </c>
      <c r="P62">
        <v>21.8</v>
      </c>
      <c r="Q62">
        <v>21.7</v>
      </c>
      <c r="R62">
        <v>21.5</v>
      </c>
      <c r="S62">
        <v>21.4</v>
      </c>
      <c r="T62">
        <v>22.2</v>
      </c>
      <c r="U62">
        <v>22.1</v>
      </c>
      <c r="V62">
        <v>22.5</v>
      </c>
      <c r="W62">
        <v>22.5</v>
      </c>
    </row>
    <row r="63" spans="1:23" ht="18" x14ac:dyDescent="0.3">
      <c r="B63">
        <v>3</v>
      </c>
      <c r="C63" t="s">
        <v>60</v>
      </c>
      <c r="D63">
        <v>2.1800000000000002</v>
      </c>
      <c r="E63">
        <v>2.25</v>
      </c>
      <c r="F63">
        <v>2.21</v>
      </c>
      <c r="G63">
        <v>2.2000000000000002</v>
      </c>
      <c r="J63" s="22">
        <f t="shared" si="5"/>
        <v>2.21</v>
      </c>
      <c r="K63" s="23">
        <f t="shared" si="6"/>
        <v>1.4719601443879708E-2</v>
      </c>
      <c r="L63" s="23">
        <f t="shared" si="7"/>
        <v>0.66604531420270174</v>
      </c>
      <c r="M63" s="24">
        <f t="shared" si="8"/>
        <v>1.3320906284054035</v>
      </c>
      <c r="O63" t="s">
        <v>85</v>
      </c>
      <c r="P63">
        <v>41</v>
      </c>
    </row>
    <row r="64" spans="1:23" ht="18" x14ac:dyDescent="0.3">
      <c r="C64" t="s">
        <v>59</v>
      </c>
      <c r="D64">
        <v>9</v>
      </c>
      <c r="E64">
        <v>6.9</v>
      </c>
      <c r="F64">
        <v>7.1</v>
      </c>
      <c r="G64">
        <v>5.7</v>
      </c>
      <c r="J64" s="22">
        <f t="shared" si="5"/>
        <v>7.1749999999999998</v>
      </c>
      <c r="K64" s="23">
        <f t="shared" si="6"/>
        <v>0.68236720319781108</v>
      </c>
      <c r="L64" s="23">
        <f t="shared" si="7"/>
        <v>9.5103442954398769</v>
      </c>
      <c r="M64" s="24">
        <f t="shared" si="8"/>
        <v>19.020688590879754</v>
      </c>
    </row>
    <row r="65" spans="1:18" ht="18" x14ac:dyDescent="0.3">
      <c r="B65">
        <v>4</v>
      </c>
      <c r="C65" t="s">
        <v>60</v>
      </c>
      <c r="D65">
        <v>2.13</v>
      </c>
      <c r="E65">
        <v>2.2599999999999998</v>
      </c>
      <c r="F65">
        <v>2.0099999999999998</v>
      </c>
      <c r="G65">
        <v>2.35</v>
      </c>
      <c r="J65" s="22">
        <f t="shared" si="5"/>
        <v>2.1875</v>
      </c>
      <c r="K65" s="23">
        <f t="shared" si="6"/>
        <v>7.4428377204755314E-2</v>
      </c>
      <c r="L65" s="23">
        <f t="shared" si="7"/>
        <v>3.4024401007888145</v>
      </c>
      <c r="M65" s="24">
        <f t="shared" si="8"/>
        <v>6.8048802015776291</v>
      </c>
    </row>
    <row r="66" spans="1:18" ht="18" x14ac:dyDescent="0.3">
      <c r="C66" t="s">
        <v>59</v>
      </c>
      <c r="D66">
        <v>6.7</v>
      </c>
      <c r="E66">
        <v>3.6</v>
      </c>
      <c r="F66">
        <v>9.5</v>
      </c>
      <c r="G66">
        <v>3.5</v>
      </c>
      <c r="J66" s="22">
        <f t="shared" si="5"/>
        <v>5.8250000000000002</v>
      </c>
      <c r="K66" s="23">
        <f t="shared" si="6"/>
        <v>1.4325821675096568</v>
      </c>
      <c r="L66" s="23">
        <f t="shared" si="7"/>
        <v>24.593685279135741</v>
      </c>
      <c r="M66" s="24">
        <f t="shared" si="8"/>
        <v>49.187370558271482</v>
      </c>
    </row>
    <row r="67" spans="1:18" ht="18" x14ac:dyDescent="0.3">
      <c r="B67">
        <v>5</v>
      </c>
      <c r="C67" t="s">
        <v>60</v>
      </c>
      <c r="D67">
        <v>1.93</v>
      </c>
      <c r="E67">
        <v>1.87</v>
      </c>
      <c r="F67">
        <v>2.19</v>
      </c>
      <c r="G67">
        <v>2.37</v>
      </c>
      <c r="J67" s="22">
        <f t="shared" si="5"/>
        <v>2.09</v>
      </c>
      <c r="K67" s="23">
        <f t="shared" si="6"/>
        <v>0.11633285577743432</v>
      </c>
      <c r="L67" s="23">
        <f t="shared" si="7"/>
        <v>5.5661653482025999</v>
      </c>
      <c r="M67" s="24">
        <f t="shared" si="8"/>
        <v>11.1323306964052</v>
      </c>
    </row>
    <row r="68" spans="1:18" ht="18" x14ac:dyDescent="0.3">
      <c r="C68" t="s">
        <v>59</v>
      </c>
      <c r="D68">
        <v>6.8</v>
      </c>
      <c r="E68">
        <v>6.5</v>
      </c>
      <c r="F68">
        <v>3.4</v>
      </c>
      <c r="G68">
        <v>3</v>
      </c>
      <c r="J68" s="22">
        <f t="shared" si="5"/>
        <v>4.9249999999999998</v>
      </c>
      <c r="K68" s="23">
        <f t="shared" si="6"/>
        <v>1.0011451776174458</v>
      </c>
      <c r="L68" s="23">
        <f t="shared" si="7"/>
        <v>20.327820865328849</v>
      </c>
      <c r="M68" s="24">
        <f t="shared" si="8"/>
        <v>40.655641730657699</v>
      </c>
    </row>
    <row r="69" spans="1:18" ht="18" x14ac:dyDescent="0.3">
      <c r="A69" t="s">
        <v>66</v>
      </c>
      <c r="B69">
        <v>2</v>
      </c>
      <c r="C69" t="s">
        <v>60</v>
      </c>
      <c r="D69">
        <v>2.0099999999999998</v>
      </c>
      <c r="E69">
        <v>2.16</v>
      </c>
      <c r="F69">
        <v>2.16</v>
      </c>
      <c r="G69">
        <v>2.2799999999999998</v>
      </c>
      <c r="H69">
        <v>2.02</v>
      </c>
      <c r="I69">
        <v>2.2000000000000002</v>
      </c>
      <c r="J69" s="22">
        <f>AVERAGE(D69:I69)</f>
        <v>2.1383333333333332</v>
      </c>
      <c r="K69" s="23">
        <f t="shared" si="6"/>
        <v>4.2927587607245986E-2</v>
      </c>
      <c r="L69" s="23">
        <f t="shared" si="7"/>
        <v>2.0075255311260793</v>
      </c>
      <c r="M69" s="24">
        <f t="shared" si="8"/>
        <v>4.9174131968686812</v>
      </c>
    </row>
    <row r="70" spans="1:18" ht="18" x14ac:dyDescent="0.3">
      <c r="C70" t="s">
        <v>59</v>
      </c>
      <c r="D70">
        <v>8</v>
      </c>
      <c r="E70">
        <v>7.1</v>
      </c>
      <c r="F70">
        <v>8.9</v>
      </c>
      <c r="G70">
        <v>7.7</v>
      </c>
      <c r="H70">
        <v>7.4</v>
      </c>
      <c r="I70">
        <v>6.5</v>
      </c>
      <c r="J70" s="22">
        <f t="shared" ref="J70:J121" si="9">AVERAGE(D70:I70)</f>
        <v>7.6000000000000005</v>
      </c>
      <c r="K70" s="23">
        <f t="shared" si="6"/>
        <v>0.33466401061363032</v>
      </c>
      <c r="L70" s="23">
        <f t="shared" si="7"/>
        <v>4.403473823863556</v>
      </c>
      <c r="M70" s="24">
        <f t="shared" si="8"/>
        <v>10.786263964167999</v>
      </c>
      <c r="O70" t="s">
        <v>84</v>
      </c>
      <c r="P70">
        <v>22.2</v>
      </c>
      <c r="Q70">
        <v>22.2</v>
      </c>
      <c r="R70">
        <v>22.5</v>
      </c>
    </row>
    <row r="71" spans="1:18" ht="18" x14ac:dyDescent="0.3">
      <c r="B71">
        <v>3</v>
      </c>
      <c r="C71" t="s">
        <v>60</v>
      </c>
      <c r="D71">
        <v>2.4500000000000002</v>
      </c>
      <c r="E71">
        <v>2.39</v>
      </c>
      <c r="F71">
        <v>2.35</v>
      </c>
      <c r="G71">
        <v>2.54</v>
      </c>
      <c r="H71">
        <v>2.38</v>
      </c>
      <c r="I71">
        <v>2.2599999999999998</v>
      </c>
      <c r="J71" s="22">
        <f t="shared" si="9"/>
        <v>2.395</v>
      </c>
      <c r="K71" s="23">
        <f t="shared" si="6"/>
        <v>3.8535697735995425E-2</v>
      </c>
      <c r="L71" s="23">
        <f t="shared" si="7"/>
        <v>1.6090061685175543</v>
      </c>
      <c r="M71" s="24">
        <f t="shared" si="8"/>
        <v>3.9412441058586105</v>
      </c>
    </row>
    <row r="72" spans="1:18" ht="18" x14ac:dyDescent="0.3">
      <c r="C72" t="s">
        <v>59</v>
      </c>
      <c r="D72">
        <v>4.2</v>
      </c>
      <c r="E72">
        <v>4.5999999999999996</v>
      </c>
      <c r="F72">
        <v>8.1</v>
      </c>
      <c r="G72">
        <v>5.3</v>
      </c>
      <c r="H72">
        <v>6.5</v>
      </c>
      <c r="I72">
        <v>4</v>
      </c>
      <c r="J72" s="22">
        <f t="shared" si="9"/>
        <v>5.45</v>
      </c>
      <c r="K72" s="23">
        <f t="shared" si="6"/>
        <v>0.64640028877881262</v>
      </c>
      <c r="L72" s="23">
        <f t="shared" si="7"/>
        <v>11.860555757409406</v>
      </c>
      <c r="M72" s="24">
        <f t="shared" si="8"/>
        <v>29.052309671482302</v>
      </c>
    </row>
    <row r="73" spans="1:18" ht="18" x14ac:dyDescent="0.3">
      <c r="B73">
        <v>4</v>
      </c>
      <c r="C73" t="s">
        <v>60</v>
      </c>
      <c r="D73">
        <v>2.0499999999999998</v>
      </c>
      <c r="E73">
        <v>2.67</v>
      </c>
      <c r="F73">
        <v>2.21</v>
      </c>
      <c r="G73">
        <v>2.23</v>
      </c>
      <c r="H73">
        <v>2.2000000000000002</v>
      </c>
      <c r="I73">
        <v>1.98</v>
      </c>
      <c r="J73" s="22">
        <f t="shared" si="9"/>
        <v>2.2233333333333332</v>
      </c>
      <c r="K73" s="23">
        <f t="shared" si="6"/>
        <v>9.8240068765810193E-2</v>
      </c>
      <c r="L73" s="23">
        <f t="shared" si="7"/>
        <v>4.4185937975626777</v>
      </c>
      <c r="M73" s="24">
        <f t="shared" si="8"/>
        <v>10.823300184655148</v>
      </c>
    </row>
    <row r="74" spans="1:18" ht="18" x14ac:dyDescent="0.3">
      <c r="C74" t="s">
        <v>59</v>
      </c>
      <c r="D74">
        <v>9.1999999999999993</v>
      </c>
      <c r="E74">
        <v>2.8</v>
      </c>
      <c r="F74">
        <v>5.7</v>
      </c>
      <c r="G74">
        <v>5.5</v>
      </c>
      <c r="H74">
        <v>6.1</v>
      </c>
      <c r="I74">
        <v>7.4</v>
      </c>
      <c r="J74" s="22">
        <f t="shared" si="9"/>
        <v>6.1166666666666663</v>
      </c>
      <c r="K74" s="23">
        <f t="shared" si="6"/>
        <v>0.87002554240921381</v>
      </c>
      <c r="L74" s="23">
        <f t="shared" si="7"/>
        <v>14.22385082957843</v>
      </c>
      <c r="M74" s="24">
        <f t="shared" si="8"/>
        <v>34.841176709930352</v>
      </c>
    </row>
    <row r="75" spans="1:18" ht="18" x14ac:dyDescent="0.3">
      <c r="B75">
        <v>5</v>
      </c>
      <c r="C75" t="s">
        <v>60</v>
      </c>
      <c r="D75">
        <v>2.2400000000000002</v>
      </c>
      <c r="E75">
        <v>3.83</v>
      </c>
      <c r="F75">
        <v>2.68</v>
      </c>
      <c r="G75">
        <v>6.69</v>
      </c>
      <c r="H75">
        <v>2.67</v>
      </c>
      <c r="I75">
        <v>3.6</v>
      </c>
      <c r="J75" s="22">
        <f t="shared" si="9"/>
        <v>3.6183333333333336</v>
      </c>
      <c r="K75" s="23">
        <f t="shared" si="6"/>
        <v>0.66231622188934614</v>
      </c>
      <c r="L75" s="23">
        <f t="shared" si="7"/>
        <v>18.304455694776951</v>
      </c>
      <c r="M75" s="24">
        <f t="shared" si="8"/>
        <v>44.836576471585275</v>
      </c>
    </row>
    <row r="76" spans="1:18" ht="18" x14ac:dyDescent="0.3">
      <c r="C76" t="s">
        <v>59</v>
      </c>
      <c r="D76">
        <v>3.6</v>
      </c>
      <c r="E76">
        <v>1</v>
      </c>
      <c r="F76">
        <v>3.5</v>
      </c>
      <c r="G76">
        <v>0.5</v>
      </c>
      <c r="H76">
        <v>3</v>
      </c>
      <c r="I76">
        <v>1.5</v>
      </c>
      <c r="J76" s="22">
        <f t="shared" si="9"/>
        <v>2.1833333333333331</v>
      </c>
      <c r="K76" s="23">
        <f t="shared" si="6"/>
        <v>0.55100917516055148</v>
      </c>
      <c r="L76" s="23">
        <f t="shared" si="7"/>
        <v>25.237061457735184</v>
      </c>
      <c r="M76" s="24">
        <f t="shared" si="8"/>
        <v>61.817923178711006</v>
      </c>
    </row>
    <row r="77" spans="1:18" ht="18" x14ac:dyDescent="0.3">
      <c r="A77" s="4" t="s">
        <v>91</v>
      </c>
      <c r="B77" t="s">
        <v>94</v>
      </c>
      <c r="C77" t="s">
        <v>95</v>
      </c>
      <c r="J77" s="22"/>
      <c r="K77" s="23"/>
      <c r="L77" s="23"/>
      <c r="M77" s="24"/>
    </row>
    <row r="78" spans="1:18" ht="18" x14ac:dyDescent="0.3">
      <c r="A78" s="54" t="s">
        <v>58</v>
      </c>
      <c r="B78">
        <v>3</v>
      </c>
      <c r="C78">
        <v>6</v>
      </c>
      <c r="J78" s="22"/>
      <c r="K78" s="23"/>
      <c r="L78" s="23"/>
      <c r="M78" s="24"/>
    </row>
    <row r="79" spans="1:18" ht="18" x14ac:dyDescent="0.3">
      <c r="A79" s="54"/>
      <c r="B79">
        <v>5</v>
      </c>
      <c r="C79">
        <v>5</v>
      </c>
      <c r="J79" s="22"/>
      <c r="K79" s="23"/>
      <c r="L79" s="23"/>
      <c r="M79" s="24"/>
    </row>
    <row r="80" spans="1:18" s="54" customFormat="1" ht="18" x14ac:dyDescent="0.3">
      <c r="A80" s="54" t="s">
        <v>63</v>
      </c>
      <c r="B80" s="54">
        <v>3</v>
      </c>
      <c r="C80" s="54">
        <v>3</v>
      </c>
      <c r="D80" s="54">
        <v>4</v>
      </c>
      <c r="E80" s="54">
        <v>6</v>
      </c>
      <c r="J80" s="22"/>
      <c r="K80" s="23"/>
      <c r="L80" s="23"/>
      <c r="M80" s="24"/>
    </row>
    <row r="81" spans="1:19" s="54" customFormat="1" ht="18" x14ac:dyDescent="0.3">
      <c r="B81" s="54">
        <v>4</v>
      </c>
      <c r="C81" s="54">
        <v>1</v>
      </c>
      <c r="D81" s="54">
        <v>3</v>
      </c>
      <c r="E81" s="54">
        <v>5</v>
      </c>
      <c r="J81" s="22"/>
      <c r="K81" s="23"/>
      <c r="L81" s="23"/>
      <c r="M81" s="24"/>
    </row>
    <row r="82" spans="1:19" s="54" customFormat="1" ht="18" x14ac:dyDescent="0.3">
      <c r="B82" s="54">
        <v>5</v>
      </c>
      <c r="C82" s="54">
        <v>1</v>
      </c>
      <c r="D82" s="54">
        <v>2</v>
      </c>
      <c r="E82" s="54">
        <v>3</v>
      </c>
      <c r="F82" s="54">
        <v>4</v>
      </c>
      <c r="G82" s="54">
        <v>5</v>
      </c>
      <c r="H82" s="54">
        <v>6</v>
      </c>
      <c r="J82" s="22"/>
      <c r="K82" s="23"/>
      <c r="L82" s="23"/>
      <c r="M82" s="24"/>
    </row>
    <row r="83" spans="1:19" s="54" customFormat="1" ht="18" x14ac:dyDescent="0.3">
      <c r="A83" s="54" t="s">
        <v>64</v>
      </c>
      <c r="B83" s="54">
        <v>3</v>
      </c>
      <c r="C83" s="54">
        <v>1</v>
      </c>
      <c r="D83" s="54">
        <v>2</v>
      </c>
      <c r="J83" s="22"/>
      <c r="K83" s="23"/>
      <c r="L83" s="23"/>
      <c r="M83" s="24"/>
    </row>
    <row r="84" spans="1:19" s="54" customFormat="1" ht="18" x14ac:dyDescent="0.3">
      <c r="B84" s="54">
        <v>4</v>
      </c>
      <c r="C84" s="54">
        <v>5</v>
      </c>
      <c r="J84" s="22"/>
      <c r="K84" s="23"/>
      <c r="L84" s="23"/>
      <c r="M84" s="24"/>
    </row>
    <row r="85" spans="1:19" s="54" customFormat="1" ht="18" x14ac:dyDescent="0.3">
      <c r="B85" s="54">
        <v>5</v>
      </c>
      <c r="C85" s="54">
        <v>3</v>
      </c>
      <c r="D85" s="54">
        <v>4</v>
      </c>
      <c r="J85" s="22"/>
      <c r="K85" s="23"/>
      <c r="L85" s="23"/>
      <c r="M85" s="24"/>
    </row>
    <row r="86" spans="1:19" s="54" customFormat="1" ht="18" x14ac:dyDescent="0.3">
      <c r="A86" s="54" t="s">
        <v>67</v>
      </c>
      <c r="B86" s="54">
        <v>3</v>
      </c>
      <c r="C86" s="54">
        <v>6</v>
      </c>
      <c r="J86" s="22"/>
      <c r="K86" s="23"/>
      <c r="L86" s="23"/>
      <c r="M86" s="24"/>
    </row>
    <row r="87" spans="1:19" s="54" customFormat="1" ht="18" x14ac:dyDescent="0.3">
      <c r="B87" s="54">
        <v>4</v>
      </c>
      <c r="C87" s="54">
        <v>4</v>
      </c>
      <c r="J87" s="22"/>
      <c r="K87" s="23"/>
      <c r="L87" s="23"/>
      <c r="M87" s="24"/>
    </row>
    <row r="88" spans="1:19" s="54" customFormat="1" ht="18" x14ac:dyDescent="0.3">
      <c r="B88" s="54">
        <v>5</v>
      </c>
      <c r="C88" s="54">
        <v>3</v>
      </c>
      <c r="D88" s="54">
        <v>4</v>
      </c>
      <c r="E88" s="54">
        <v>5</v>
      </c>
      <c r="J88" s="22"/>
      <c r="K88" s="23"/>
      <c r="L88" s="23"/>
      <c r="M88" s="24"/>
    </row>
    <row r="89" spans="1:19" ht="18" x14ac:dyDescent="0.3">
      <c r="A89" s="1">
        <v>46130</v>
      </c>
      <c r="J89" s="22"/>
      <c r="K89" s="23"/>
      <c r="L89" s="23"/>
      <c r="M89" s="24"/>
    </row>
    <row r="90" spans="1:19" ht="18" x14ac:dyDescent="0.3">
      <c r="A90" s="1" t="s">
        <v>58</v>
      </c>
      <c r="B90">
        <v>2</v>
      </c>
      <c r="C90" t="s">
        <v>60</v>
      </c>
      <c r="D90">
        <v>2.15</v>
      </c>
      <c r="E90">
        <v>2.4300000000000002</v>
      </c>
      <c r="F90">
        <v>2.3199999999999998</v>
      </c>
      <c r="G90">
        <v>2.4</v>
      </c>
      <c r="H90">
        <v>2.31</v>
      </c>
      <c r="I90">
        <v>2.4300000000000002</v>
      </c>
      <c r="J90" s="22">
        <f t="shared" si="9"/>
        <v>2.3400000000000003</v>
      </c>
      <c r="K90" s="23">
        <f t="shared" si="6"/>
        <v>4.3665394383500873E-2</v>
      </c>
      <c r="L90" s="23">
        <f t="shared" si="7"/>
        <v>1.8660424950214045</v>
      </c>
      <c r="M90" s="24">
        <f t="shared" si="8"/>
        <v>4.5708519511524601</v>
      </c>
    </row>
    <row r="91" spans="1:19" ht="18" x14ac:dyDescent="0.3">
      <c r="A91" s="1"/>
      <c r="C91" t="s">
        <v>59</v>
      </c>
      <c r="D91">
        <v>8.1</v>
      </c>
      <c r="E91">
        <v>3.5</v>
      </c>
      <c r="F91">
        <v>6.2</v>
      </c>
      <c r="G91">
        <v>6.6</v>
      </c>
      <c r="H91">
        <v>7.3</v>
      </c>
      <c r="I91">
        <v>4.4000000000000004</v>
      </c>
      <c r="J91" s="22">
        <f t="shared" si="9"/>
        <v>6.0166666666666666</v>
      </c>
      <c r="K91" s="23">
        <f t="shared" si="6"/>
        <v>0.7143372997245615</v>
      </c>
      <c r="L91" s="23">
        <f t="shared" si="7"/>
        <v>11.872642100685233</v>
      </c>
      <c r="M91" s="24">
        <f t="shared" si="8"/>
        <v>29.081915045364202</v>
      </c>
    </row>
    <row r="92" spans="1:19" ht="18" x14ac:dyDescent="0.3">
      <c r="A92" s="1"/>
      <c r="B92">
        <v>3</v>
      </c>
      <c r="C92" t="s">
        <v>60</v>
      </c>
      <c r="D92">
        <v>2.59</v>
      </c>
      <c r="E92">
        <v>2.98</v>
      </c>
      <c r="F92">
        <v>3.41</v>
      </c>
      <c r="G92">
        <v>3.95</v>
      </c>
      <c r="H92">
        <v>2.23</v>
      </c>
      <c r="I92">
        <v>4.21</v>
      </c>
      <c r="J92" s="22">
        <f t="shared" si="9"/>
        <v>3.2283333333333335</v>
      </c>
      <c r="K92" s="23">
        <f t="shared" si="6"/>
        <v>0.31534548954722269</v>
      </c>
      <c r="L92" s="23">
        <f t="shared" si="7"/>
        <v>9.7680585301153116</v>
      </c>
      <c r="M92" s="24">
        <f t="shared" si="8"/>
        <v>23.926759176423182</v>
      </c>
      <c r="O92" t="s">
        <v>84</v>
      </c>
      <c r="P92">
        <v>20.5</v>
      </c>
      <c r="Q92">
        <v>20.6</v>
      </c>
      <c r="R92">
        <v>20.7</v>
      </c>
      <c r="S92">
        <v>20.7</v>
      </c>
    </row>
    <row r="93" spans="1:19" ht="18" x14ac:dyDescent="0.3">
      <c r="C93" t="s">
        <v>59</v>
      </c>
      <c r="D93">
        <v>3.2</v>
      </c>
      <c r="E93">
        <v>2.9</v>
      </c>
      <c r="F93">
        <v>3.4</v>
      </c>
      <c r="G93">
        <v>2</v>
      </c>
      <c r="H93">
        <v>9</v>
      </c>
      <c r="I93">
        <v>1.8</v>
      </c>
      <c r="J93" s="22">
        <f t="shared" si="9"/>
        <v>3.7166666666666668</v>
      </c>
      <c r="K93" s="23">
        <f t="shared" si="6"/>
        <v>1.088857709304164</v>
      </c>
      <c r="L93" s="23">
        <f t="shared" si="7"/>
        <v>29.296619981277953</v>
      </c>
      <c r="M93" s="24">
        <f t="shared" si="8"/>
        <v>71.761770142357037</v>
      </c>
    </row>
    <row r="94" spans="1:19" ht="18" x14ac:dyDescent="0.3">
      <c r="B94">
        <v>4</v>
      </c>
      <c r="C94" t="s">
        <v>60</v>
      </c>
      <c r="D94">
        <v>2.94</v>
      </c>
      <c r="E94">
        <v>3.35</v>
      </c>
      <c r="F94">
        <v>2.17</v>
      </c>
      <c r="G94">
        <v>2.56</v>
      </c>
      <c r="H94">
        <v>2.2000000000000002</v>
      </c>
      <c r="I94">
        <v>2.29</v>
      </c>
      <c r="J94" s="22">
        <f t="shared" si="9"/>
        <v>2.5850000000000004</v>
      </c>
      <c r="K94" s="23">
        <f t="shared" si="6"/>
        <v>0.19316228065196003</v>
      </c>
      <c r="L94" s="23">
        <f t="shared" si="7"/>
        <v>7.4724286519133463</v>
      </c>
      <c r="M94" s="24">
        <f t="shared" si="8"/>
        <v>18.303637336540874</v>
      </c>
    </row>
    <row r="95" spans="1:19" ht="18" x14ac:dyDescent="0.3">
      <c r="C95" t="s">
        <v>59</v>
      </c>
      <c r="D95">
        <v>4.3</v>
      </c>
      <c r="E95">
        <v>1.7</v>
      </c>
      <c r="F95">
        <v>7.3</v>
      </c>
      <c r="G95">
        <v>3.4</v>
      </c>
      <c r="H95">
        <v>3.6</v>
      </c>
      <c r="I95">
        <v>5.0999999999999996</v>
      </c>
      <c r="J95" s="22">
        <f t="shared" si="9"/>
        <v>4.2333333333333334</v>
      </c>
      <c r="K95" s="23">
        <f t="shared" si="6"/>
        <v>0.76753573930541574</v>
      </c>
      <c r="L95" s="23">
        <f t="shared" si="7"/>
        <v>18.130765495403523</v>
      </c>
      <c r="M95" s="24">
        <f t="shared" si="8"/>
        <v>44.411124109798095</v>
      </c>
    </row>
    <row r="96" spans="1:19" ht="18" x14ac:dyDescent="0.3">
      <c r="B96">
        <v>5</v>
      </c>
      <c r="C96" t="s">
        <v>60</v>
      </c>
      <c r="D96">
        <v>3.65</v>
      </c>
      <c r="E96">
        <v>3.88</v>
      </c>
      <c r="F96">
        <v>2.66</v>
      </c>
      <c r="G96">
        <v>3.22</v>
      </c>
      <c r="H96">
        <v>2.37</v>
      </c>
      <c r="I96">
        <v>2.41</v>
      </c>
      <c r="J96" s="22">
        <f t="shared" si="9"/>
        <v>3.0316666666666667</v>
      </c>
      <c r="K96" s="23">
        <f t="shared" si="6"/>
        <v>0.26456778169518491</v>
      </c>
      <c r="L96" s="23">
        <f t="shared" si="7"/>
        <v>8.7268097315618984</v>
      </c>
      <c r="M96" s="24">
        <f t="shared" si="8"/>
        <v>21.376230924681291</v>
      </c>
    </row>
    <row r="97" spans="1:13" ht="18" x14ac:dyDescent="0.3">
      <c r="C97" t="s">
        <v>59</v>
      </c>
      <c r="D97">
        <v>1.7</v>
      </c>
      <c r="E97">
        <v>3</v>
      </c>
      <c r="F97">
        <v>6.8</v>
      </c>
      <c r="G97">
        <v>2.6</v>
      </c>
      <c r="H97">
        <v>2.2000000000000002</v>
      </c>
      <c r="I97">
        <v>4.3</v>
      </c>
      <c r="J97" s="22">
        <f t="shared" si="9"/>
        <v>3.4333333333333336</v>
      </c>
      <c r="K97" s="23">
        <f t="shared" si="6"/>
        <v>0.76361712337473875</v>
      </c>
      <c r="L97" s="23">
        <f t="shared" si="7"/>
        <v>22.241275438099187</v>
      </c>
      <c r="M97" s="24">
        <f t="shared" si="8"/>
        <v>54.479776052039384</v>
      </c>
    </row>
    <row r="98" spans="1:13" ht="18" x14ac:dyDescent="0.3">
      <c r="A98" t="s">
        <v>63</v>
      </c>
      <c r="B98">
        <v>2</v>
      </c>
      <c r="C98" t="s">
        <v>60</v>
      </c>
      <c r="D98">
        <v>2.84</v>
      </c>
      <c r="E98">
        <v>2.4300000000000002</v>
      </c>
      <c r="F98">
        <v>3.64</v>
      </c>
      <c r="G98">
        <v>2.84</v>
      </c>
      <c r="H98">
        <v>3.49</v>
      </c>
      <c r="I98">
        <v>2.5099999999999998</v>
      </c>
      <c r="J98" s="22">
        <f t="shared" si="9"/>
        <v>2.9583333333333335</v>
      </c>
      <c r="K98" s="23">
        <f t="shared" si="6"/>
        <v>0.20457136760662484</v>
      </c>
      <c r="L98" s="23">
        <f t="shared" si="7"/>
        <v>6.9150884824774588</v>
      </c>
      <c r="M98" s="24">
        <f t="shared" si="8"/>
        <v>16.938438308266626</v>
      </c>
    </row>
    <row r="99" spans="1:13" ht="18" x14ac:dyDescent="0.3">
      <c r="C99" t="s">
        <v>59</v>
      </c>
      <c r="D99">
        <v>2.5</v>
      </c>
      <c r="E99">
        <v>5.9</v>
      </c>
      <c r="F99">
        <v>2.5</v>
      </c>
      <c r="G99">
        <v>5.8</v>
      </c>
      <c r="H99">
        <v>2.6</v>
      </c>
      <c r="I99">
        <v>8.1999999999999993</v>
      </c>
      <c r="J99" s="22">
        <f t="shared" si="9"/>
        <v>4.583333333333333</v>
      </c>
      <c r="K99" s="23">
        <f t="shared" si="6"/>
        <v>0.98163695484181468</v>
      </c>
      <c r="L99" s="23">
        <f t="shared" si="7"/>
        <v>21.417533560185049</v>
      </c>
      <c r="M99" s="24">
        <f t="shared" si="8"/>
        <v>52.462028771387757</v>
      </c>
    </row>
    <row r="100" spans="1:13" ht="18" x14ac:dyDescent="0.3">
      <c r="B100">
        <v>3</v>
      </c>
      <c r="C100" t="s">
        <v>60</v>
      </c>
      <c r="D100">
        <v>2.59</v>
      </c>
      <c r="E100">
        <v>3.51</v>
      </c>
      <c r="F100">
        <v>4.3899999999999997</v>
      </c>
      <c r="G100">
        <v>5.03</v>
      </c>
      <c r="H100">
        <v>2.27</v>
      </c>
      <c r="I100">
        <v>2.42</v>
      </c>
      <c r="J100" s="22">
        <f t="shared" si="9"/>
        <v>3.3683333333333336</v>
      </c>
      <c r="K100" s="23">
        <f t="shared" si="6"/>
        <v>0.46677915310966595</v>
      </c>
      <c r="L100" s="23">
        <f t="shared" si="7"/>
        <v>13.857866989896069</v>
      </c>
      <c r="M100" s="24">
        <f t="shared" si="8"/>
        <v>33.944703048604012</v>
      </c>
    </row>
    <row r="101" spans="1:13" ht="18" x14ac:dyDescent="0.3">
      <c r="C101" t="s">
        <v>59</v>
      </c>
      <c r="D101">
        <v>5.8</v>
      </c>
      <c r="E101">
        <v>2.5</v>
      </c>
      <c r="F101">
        <v>1.7</v>
      </c>
      <c r="G101">
        <v>2</v>
      </c>
      <c r="H101">
        <v>8.4</v>
      </c>
      <c r="I101">
        <v>2.1</v>
      </c>
      <c r="J101" s="22">
        <f t="shared" si="9"/>
        <v>3.75</v>
      </c>
      <c r="K101" s="23">
        <f t="shared" si="6"/>
        <v>1.1161690433502147</v>
      </c>
      <c r="L101" s="23">
        <f t="shared" si="7"/>
        <v>29.764507822672392</v>
      </c>
      <c r="M101" s="24">
        <f t="shared" si="8"/>
        <v>72.907856610625686</v>
      </c>
    </row>
    <row r="102" spans="1:13" ht="18" x14ac:dyDescent="0.3">
      <c r="B102">
        <v>4</v>
      </c>
      <c r="C102" t="s">
        <v>60</v>
      </c>
      <c r="D102">
        <v>3.88</v>
      </c>
      <c r="E102">
        <v>2.15</v>
      </c>
      <c r="F102">
        <v>4.25</v>
      </c>
      <c r="G102">
        <v>3.2</v>
      </c>
      <c r="H102">
        <v>3.85</v>
      </c>
      <c r="I102">
        <v>3.15</v>
      </c>
      <c r="J102" s="22">
        <f t="shared" si="9"/>
        <v>3.4133333333333336</v>
      </c>
      <c r="K102" s="23">
        <f t="shared" si="6"/>
        <v>0.30655795174449113</v>
      </c>
      <c r="L102" s="23">
        <f t="shared" si="7"/>
        <v>8.9811899925143877</v>
      </c>
      <c r="M102" s="24">
        <f t="shared" si="8"/>
        <v>21.999332764650923</v>
      </c>
    </row>
    <row r="103" spans="1:13" ht="18" x14ac:dyDescent="0.3">
      <c r="C103" t="s">
        <v>59</v>
      </c>
      <c r="D103">
        <v>2.2000000000000002</v>
      </c>
      <c r="E103">
        <v>8.6999999999999993</v>
      </c>
      <c r="F103">
        <v>2.2999999999999998</v>
      </c>
      <c r="G103">
        <v>3</v>
      </c>
      <c r="H103">
        <v>2.2000000000000002</v>
      </c>
      <c r="I103">
        <v>2.9</v>
      </c>
      <c r="J103" s="22">
        <f t="shared" si="9"/>
        <v>3.5499999999999994</v>
      </c>
      <c r="K103" s="23">
        <f t="shared" si="6"/>
        <v>1.0401121734377181</v>
      </c>
      <c r="L103" s="23">
        <f t="shared" si="7"/>
        <v>29.298934463034321</v>
      </c>
      <c r="M103" s="24">
        <f t="shared" si="8"/>
        <v>71.767439441679116</v>
      </c>
    </row>
    <row r="104" spans="1:13" ht="18" x14ac:dyDescent="0.3">
      <c r="B104">
        <v>5</v>
      </c>
      <c r="C104" t="s">
        <v>60</v>
      </c>
      <c r="D104">
        <v>2.82</v>
      </c>
      <c r="E104">
        <v>2.62</v>
      </c>
      <c r="F104">
        <v>2.69</v>
      </c>
      <c r="G104">
        <v>4.4800000000000004</v>
      </c>
      <c r="H104">
        <v>2.44</v>
      </c>
      <c r="I104">
        <v>3.96</v>
      </c>
      <c r="J104" s="22">
        <f t="shared" si="9"/>
        <v>3.168333333333333</v>
      </c>
      <c r="K104" s="23">
        <f t="shared" si="6"/>
        <v>0.34295205366218701</v>
      </c>
      <c r="L104" s="23">
        <f t="shared" si="7"/>
        <v>10.824367816797066</v>
      </c>
      <c r="M104" s="24">
        <f t="shared" si="8"/>
        <v>26.514177939356756</v>
      </c>
    </row>
    <row r="105" spans="1:13" ht="18" x14ac:dyDescent="0.3">
      <c r="C105" t="s">
        <v>59</v>
      </c>
      <c r="D105">
        <v>1.9</v>
      </c>
      <c r="E105">
        <v>2.5</v>
      </c>
      <c r="F105">
        <v>2.1</v>
      </c>
      <c r="G105">
        <v>1.7</v>
      </c>
      <c r="H105">
        <v>2.4</v>
      </c>
      <c r="I105">
        <v>2.2999999999999998</v>
      </c>
      <c r="J105" s="22">
        <f t="shared" si="9"/>
        <v>2.15</v>
      </c>
      <c r="K105" s="23">
        <f t="shared" si="6"/>
        <v>0.12583057392117983</v>
      </c>
      <c r="L105" s="23">
        <f t="shared" si="7"/>
        <v>5.852584833543248</v>
      </c>
      <c r="M105" s="24">
        <f t="shared" si="8"/>
        <v>14.335846518532579</v>
      </c>
    </row>
    <row r="106" spans="1:13" ht="18" x14ac:dyDescent="0.3">
      <c r="A106" t="s">
        <v>64</v>
      </c>
      <c r="B106">
        <v>2</v>
      </c>
      <c r="C106" t="s">
        <v>60</v>
      </c>
      <c r="D106">
        <v>2.06</v>
      </c>
      <c r="E106">
        <v>2.35</v>
      </c>
      <c r="F106">
        <v>2.5299999999999998</v>
      </c>
      <c r="G106">
        <v>2.4700000000000002</v>
      </c>
      <c r="H106">
        <v>3.32</v>
      </c>
      <c r="I106">
        <v>2.6</v>
      </c>
      <c r="J106" s="22">
        <f t="shared" si="9"/>
        <v>2.5550000000000002</v>
      </c>
      <c r="K106" s="23">
        <f t="shared" si="6"/>
        <v>0.17147886167105222</v>
      </c>
      <c r="L106" s="23">
        <f t="shared" si="7"/>
        <v>6.7115014352662321</v>
      </c>
      <c r="M106" s="24">
        <f t="shared" si="8"/>
        <v>16.439753924359209</v>
      </c>
    </row>
    <row r="107" spans="1:13" ht="18" x14ac:dyDescent="0.3">
      <c r="C107" t="s">
        <v>59</v>
      </c>
      <c r="D107">
        <v>9</v>
      </c>
      <c r="E107">
        <v>5.7</v>
      </c>
      <c r="F107">
        <v>6.2</v>
      </c>
      <c r="G107">
        <v>7.3</v>
      </c>
      <c r="H107">
        <v>1.8</v>
      </c>
      <c r="I107">
        <v>3.3</v>
      </c>
      <c r="J107" s="22">
        <f t="shared" si="9"/>
        <v>5.55</v>
      </c>
      <c r="K107" s="23">
        <f t="shared" si="6"/>
        <v>1.0729243527232792</v>
      </c>
      <c r="L107" s="23">
        <f t="shared" si="7"/>
        <v>19.331970319338364</v>
      </c>
      <c r="M107" s="24">
        <f t="shared" si="8"/>
        <v>47.353463005008159</v>
      </c>
    </row>
    <row r="108" spans="1:13" ht="18" x14ac:dyDescent="0.3">
      <c r="B108">
        <v>3</v>
      </c>
      <c r="C108" t="s">
        <v>60</v>
      </c>
      <c r="D108">
        <v>4.21</v>
      </c>
      <c r="E108">
        <v>4.37</v>
      </c>
      <c r="F108">
        <v>2.66</v>
      </c>
      <c r="G108">
        <v>2.4700000000000002</v>
      </c>
      <c r="H108">
        <v>2.85</v>
      </c>
      <c r="I108">
        <v>2.79</v>
      </c>
      <c r="J108" s="22">
        <f t="shared" si="9"/>
        <v>3.2250000000000001</v>
      </c>
      <c r="K108" s="23">
        <f t="shared" si="6"/>
        <v>0.34158210335632788</v>
      </c>
      <c r="L108" s="23">
        <f t="shared" si="7"/>
        <v>10.591693127327996</v>
      </c>
      <c r="M108" s="24">
        <f t="shared" si="8"/>
        <v>25.944243674097006</v>
      </c>
    </row>
    <row r="109" spans="1:13" ht="18" x14ac:dyDescent="0.3">
      <c r="C109" t="s">
        <v>59</v>
      </c>
      <c r="D109">
        <v>3</v>
      </c>
      <c r="E109">
        <v>2</v>
      </c>
      <c r="F109">
        <v>5.4</v>
      </c>
      <c r="G109">
        <v>7</v>
      </c>
      <c r="H109">
        <v>2.7</v>
      </c>
      <c r="I109">
        <v>3.1</v>
      </c>
      <c r="J109" s="22">
        <f t="shared" si="9"/>
        <v>3.8666666666666667</v>
      </c>
      <c r="K109" s="23">
        <f t="shared" si="6"/>
        <v>0.78216224517537158</v>
      </c>
      <c r="L109" s="23">
        <f t="shared" si="7"/>
        <v>20.228333926949265</v>
      </c>
      <c r="M109" s="24">
        <f t="shared" si="8"/>
        <v>49.549096467655183</v>
      </c>
    </row>
    <row r="110" spans="1:13" ht="18" x14ac:dyDescent="0.3">
      <c r="B110">
        <v>4</v>
      </c>
      <c r="C110" t="s">
        <v>60</v>
      </c>
      <c r="D110">
        <v>2.34</v>
      </c>
      <c r="E110">
        <v>2.34</v>
      </c>
      <c r="F110">
        <v>2.73</v>
      </c>
      <c r="G110">
        <v>2.13</v>
      </c>
      <c r="H110">
        <v>3.55</v>
      </c>
      <c r="I110">
        <v>3.13</v>
      </c>
      <c r="J110" s="22">
        <f>AVERAGE(D110:I110)</f>
        <v>2.7033333333333331</v>
      </c>
      <c r="K110" s="23">
        <f>STDEV(D110:I110)/SQRT(COUNT(D110:I110))</f>
        <v>0.22303462611093486</v>
      </c>
      <c r="L110" s="23">
        <f t="shared" si="7"/>
        <v>8.2503560830185538</v>
      </c>
      <c r="M110" s="24">
        <f>STDEV(D110:I110)*100/J110</f>
        <v>20.20916259966274</v>
      </c>
    </row>
    <row r="111" spans="1:13" ht="18" x14ac:dyDescent="0.3">
      <c r="C111" t="s">
        <v>59</v>
      </c>
      <c r="D111">
        <v>5.7</v>
      </c>
      <c r="E111">
        <v>2.5</v>
      </c>
      <c r="F111">
        <v>2.2000000000000002</v>
      </c>
      <c r="G111">
        <v>8.6</v>
      </c>
      <c r="H111">
        <v>1.8</v>
      </c>
      <c r="I111">
        <v>2.1</v>
      </c>
      <c r="J111" s="22">
        <f t="shared" si="9"/>
        <v>3.8166666666666669</v>
      </c>
      <c r="K111" s="23">
        <f t="shared" si="6"/>
        <v>1.1223239777849845</v>
      </c>
      <c r="L111" s="23">
        <f t="shared" si="7"/>
        <v>29.405868413580379</v>
      </c>
      <c r="M111" s="24">
        <f t="shared" si="8"/>
        <v>72.029373056696969</v>
      </c>
    </row>
    <row r="112" spans="1:13" ht="18" x14ac:dyDescent="0.3">
      <c r="B112">
        <v>5</v>
      </c>
      <c r="C112" t="s">
        <v>60</v>
      </c>
      <c r="D112">
        <v>3.09</v>
      </c>
      <c r="E112">
        <v>7.05</v>
      </c>
      <c r="F112">
        <v>4.09</v>
      </c>
      <c r="G112">
        <v>2.59</v>
      </c>
      <c r="H112">
        <v>4.13</v>
      </c>
      <c r="I112">
        <v>3.18</v>
      </c>
      <c r="J112" s="22">
        <f t="shared" si="9"/>
        <v>4.0216666666666665</v>
      </c>
      <c r="K112" s="23">
        <f t="shared" si="6"/>
        <v>0.65353610798826134</v>
      </c>
      <c r="L112" s="23">
        <f t="shared" si="7"/>
        <v>16.250379809074051</v>
      </c>
      <c r="M112" s="24">
        <f t="shared" si="8"/>
        <v>39.805138658657746</v>
      </c>
    </row>
    <row r="113" spans="1:13" ht="18" x14ac:dyDescent="0.3">
      <c r="C113" t="s">
        <v>59</v>
      </c>
      <c r="D113">
        <v>1.6</v>
      </c>
      <c r="E113">
        <v>1</v>
      </c>
      <c r="F113">
        <v>1.6</v>
      </c>
      <c r="G113">
        <v>2.1</v>
      </c>
      <c r="H113">
        <v>1</v>
      </c>
      <c r="I113">
        <v>1.5</v>
      </c>
      <c r="J113" s="22">
        <f t="shared" si="9"/>
        <v>1.4666666666666668</v>
      </c>
      <c r="K113" s="23">
        <f t="shared" si="6"/>
        <v>0.17061978522759635</v>
      </c>
      <c r="L113" s="23">
        <f t="shared" si="7"/>
        <v>11.633167174608841</v>
      </c>
      <c r="M113" s="24">
        <f t="shared" si="8"/>
        <v>28.495323670286314</v>
      </c>
    </row>
    <row r="114" spans="1:13" ht="18" x14ac:dyDescent="0.3">
      <c r="A114" t="s">
        <v>67</v>
      </c>
      <c r="B114">
        <v>2</v>
      </c>
      <c r="C114" t="s">
        <v>60</v>
      </c>
      <c r="D114">
        <v>2.95</v>
      </c>
      <c r="E114">
        <v>2.39</v>
      </c>
      <c r="F114">
        <v>2.67</v>
      </c>
      <c r="G114">
        <v>2.48</v>
      </c>
      <c r="H114">
        <v>2.67</v>
      </c>
      <c r="I114">
        <v>2.5499999999999998</v>
      </c>
      <c r="J114" s="22">
        <f t="shared" si="9"/>
        <v>2.6183333333333336</v>
      </c>
      <c r="K114" s="23">
        <f t="shared" si="6"/>
        <v>7.9850554857878828E-2</v>
      </c>
      <c r="L114" s="23">
        <f t="shared" si="7"/>
        <v>3.0496710957814952</v>
      </c>
      <c r="M114" s="24">
        <f t="shared" si="8"/>
        <v>7.4701380679791072</v>
      </c>
    </row>
    <row r="115" spans="1:13" ht="18" x14ac:dyDescent="0.3">
      <c r="C115" t="s">
        <v>59</v>
      </c>
      <c r="D115">
        <v>8</v>
      </c>
      <c r="E115">
        <v>6.5</v>
      </c>
      <c r="F115">
        <v>5.5</v>
      </c>
      <c r="G115">
        <v>6</v>
      </c>
      <c r="H115">
        <v>3.8</v>
      </c>
      <c r="I115">
        <v>3.4</v>
      </c>
      <c r="J115" s="22">
        <f t="shared" si="9"/>
        <v>5.5333333333333341</v>
      </c>
      <c r="K115" s="23">
        <f t="shared" si="6"/>
        <v>0.70221870603901593</v>
      </c>
      <c r="L115" s="23">
        <f t="shared" si="7"/>
        <v>12.690699506729201</v>
      </c>
      <c r="M115" s="24">
        <f t="shared" si="8"/>
        <v>31.085738270476718</v>
      </c>
    </row>
    <row r="116" spans="1:13" ht="18" x14ac:dyDescent="0.3">
      <c r="B116">
        <v>3</v>
      </c>
      <c r="C116" t="s">
        <v>60</v>
      </c>
      <c r="D116">
        <v>5.26</v>
      </c>
      <c r="E116">
        <v>2.96</v>
      </c>
      <c r="F116">
        <v>4.4000000000000004</v>
      </c>
      <c r="G116">
        <v>3.57</v>
      </c>
      <c r="H116">
        <v>3.67</v>
      </c>
      <c r="I116">
        <v>4.05</v>
      </c>
      <c r="J116" s="22">
        <f t="shared" si="9"/>
        <v>3.9849999999999999</v>
      </c>
      <c r="K116" s="23">
        <f t="shared" si="6"/>
        <v>0.32270471538751</v>
      </c>
      <c r="L116" s="23">
        <f t="shared" si="7"/>
        <v>8.0979853296740263</v>
      </c>
      <c r="M116" s="24">
        <f t="shared" si="8"/>
        <v>19.83593200224518</v>
      </c>
    </row>
    <row r="117" spans="1:13" ht="18" x14ac:dyDescent="0.3">
      <c r="C117" t="s">
        <v>59</v>
      </c>
      <c r="D117">
        <v>1.5</v>
      </c>
      <c r="E117">
        <v>6</v>
      </c>
      <c r="F117">
        <v>2</v>
      </c>
      <c r="G117">
        <v>2.5</v>
      </c>
      <c r="H117">
        <v>2.5</v>
      </c>
      <c r="I117">
        <v>2.2000000000000002</v>
      </c>
      <c r="J117" s="22">
        <f t="shared" si="9"/>
        <v>2.7833333333333332</v>
      </c>
      <c r="K117" s="23">
        <f t="shared" si="6"/>
        <v>0.66101773383506501</v>
      </c>
      <c r="L117" s="23">
        <f t="shared" si="7"/>
        <v>23.749140137786767</v>
      </c>
      <c r="M117" s="24">
        <f t="shared" si="8"/>
        <v>58.173275167428947</v>
      </c>
    </row>
    <row r="118" spans="1:13" ht="18" x14ac:dyDescent="0.3">
      <c r="B118">
        <v>4</v>
      </c>
      <c r="C118" t="s">
        <v>60</v>
      </c>
      <c r="D118">
        <v>2.5</v>
      </c>
      <c r="E118">
        <v>2.67</v>
      </c>
      <c r="F118">
        <v>2.2000000000000002</v>
      </c>
      <c r="G118">
        <v>3.16</v>
      </c>
      <c r="H118">
        <v>2.2799999999999998</v>
      </c>
      <c r="I118">
        <v>3.94</v>
      </c>
      <c r="J118" s="22">
        <f t="shared" si="9"/>
        <v>2.7916666666666665</v>
      </c>
      <c r="K118" s="23">
        <f t="shared" si="6"/>
        <v>0.2687057457103923</v>
      </c>
      <c r="L118" s="23">
        <f t="shared" si="7"/>
        <v>9.6252804433573367</v>
      </c>
      <c r="M118" s="24">
        <f t="shared" si="8"/>
        <v>23.577025717415317</v>
      </c>
    </row>
    <row r="119" spans="1:13" ht="18" x14ac:dyDescent="0.3">
      <c r="C119" t="s">
        <v>59</v>
      </c>
      <c r="D119">
        <v>3.2</v>
      </c>
      <c r="E119">
        <v>2.5</v>
      </c>
      <c r="F119">
        <v>4.4000000000000004</v>
      </c>
      <c r="G119">
        <v>3.1</v>
      </c>
      <c r="H119">
        <v>5.3</v>
      </c>
      <c r="I119">
        <v>1.5</v>
      </c>
      <c r="J119" s="22">
        <f t="shared" si="9"/>
        <v>3.3333333333333335</v>
      </c>
      <c r="K119" s="23">
        <f t="shared" si="6"/>
        <v>0.55176484524156189</v>
      </c>
      <c r="L119" s="23">
        <f t="shared" si="7"/>
        <v>16.552945357246855</v>
      </c>
      <c r="M119" s="24">
        <f t="shared" si="8"/>
        <v>40.546269865426602</v>
      </c>
    </row>
    <row r="120" spans="1:13" ht="18" x14ac:dyDescent="0.3">
      <c r="B120">
        <v>5</v>
      </c>
      <c r="C120" t="s">
        <v>60</v>
      </c>
      <c r="D120">
        <v>2.82</v>
      </c>
      <c r="E120">
        <v>7.98</v>
      </c>
      <c r="F120">
        <v>3.82</v>
      </c>
      <c r="G120">
        <v>4.8</v>
      </c>
      <c r="H120">
        <v>4.1900000000000004</v>
      </c>
      <c r="I120">
        <v>3.06</v>
      </c>
      <c r="J120" s="22">
        <f t="shared" si="9"/>
        <v>4.4450000000000003</v>
      </c>
      <c r="K120" s="23">
        <f t="shared" si="6"/>
        <v>0.76674093843140145</v>
      </c>
      <c r="L120" s="23">
        <f t="shared" si="7"/>
        <v>17.249514925340865</v>
      </c>
      <c r="M120" s="24">
        <f t="shared" si="8"/>
        <v>42.252509877607778</v>
      </c>
    </row>
    <row r="121" spans="1:13" ht="18" x14ac:dyDescent="0.3">
      <c r="C121" t="s">
        <v>59</v>
      </c>
      <c r="D121">
        <v>3.6</v>
      </c>
      <c r="E121">
        <v>0.5</v>
      </c>
      <c r="F121">
        <v>2</v>
      </c>
      <c r="G121">
        <v>2</v>
      </c>
      <c r="H121">
        <v>2</v>
      </c>
      <c r="I121">
        <v>2.7</v>
      </c>
      <c r="J121" s="22">
        <f t="shared" si="9"/>
        <v>2.1333333333333333</v>
      </c>
      <c r="K121" s="23">
        <f t="shared" si="6"/>
        <v>0.41606623404346443</v>
      </c>
      <c r="L121" s="23">
        <f t="shared" si="7"/>
        <v>19.503104720787395</v>
      </c>
      <c r="M121" s="24">
        <f t="shared" si="8"/>
        <v>47.772654965994903</v>
      </c>
    </row>
    <row r="123" spans="1:13" x14ac:dyDescent="0.3">
      <c r="A123" s="4" t="s">
        <v>227</v>
      </c>
    </row>
    <row r="124" spans="1:13" x14ac:dyDescent="0.3">
      <c r="A124" t="s">
        <v>228</v>
      </c>
      <c r="B124" t="s">
        <v>229</v>
      </c>
      <c r="C124" t="s">
        <v>230</v>
      </c>
      <c r="D124" t="s">
        <v>231</v>
      </c>
      <c r="E124" t="s">
        <v>232</v>
      </c>
    </row>
    <row r="125" spans="1:13" x14ac:dyDescent="0.3">
      <c r="A125">
        <f>38*4</f>
        <v>152</v>
      </c>
      <c r="B125">
        <f>A125*10/2.5</f>
        <v>608</v>
      </c>
      <c r="D125">
        <v>15</v>
      </c>
      <c r="E125">
        <v>26</v>
      </c>
      <c r="F125">
        <f>D125*E125</f>
        <v>390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778C-EBA3-4C91-9997-90EE14573ABB}">
  <dimension ref="A1:U64"/>
  <sheetViews>
    <sheetView tabSelected="1" topLeftCell="A19" workbookViewId="0">
      <selection activeCell="N39" sqref="N39"/>
    </sheetView>
  </sheetViews>
  <sheetFormatPr defaultRowHeight="14.4" x14ac:dyDescent="0.3"/>
  <sheetData>
    <row r="1" spans="1:16" x14ac:dyDescent="0.3">
      <c r="A1" s="1">
        <v>46084</v>
      </c>
      <c r="B1" t="s">
        <v>12</v>
      </c>
    </row>
    <row r="2" spans="1:16" x14ac:dyDescent="0.3">
      <c r="A2" s="1" t="s">
        <v>13</v>
      </c>
      <c r="B2" t="s">
        <v>14</v>
      </c>
      <c r="C2" t="s">
        <v>15</v>
      </c>
      <c r="G2" s="1"/>
      <c r="L2" s="1"/>
      <c r="P2" s="1"/>
    </row>
    <row r="3" spans="1:16" x14ac:dyDescent="0.3">
      <c r="A3" s="1" t="s">
        <v>16</v>
      </c>
      <c r="C3" s="1">
        <v>46086</v>
      </c>
      <c r="G3" s="1"/>
      <c r="P3" s="1"/>
    </row>
    <row r="4" spans="1:16" x14ac:dyDescent="0.3">
      <c r="A4" s="1" t="s">
        <v>17</v>
      </c>
      <c r="C4" s="1">
        <v>46087</v>
      </c>
      <c r="G4" s="1"/>
      <c r="P4" s="1"/>
    </row>
    <row r="5" spans="1:16" x14ac:dyDescent="0.3">
      <c r="A5" s="1" t="s">
        <v>18</v>
      </c>
      <c r="C5" s="1">
        <v>46087</v>
      </c>
      <c r="G5" s="1"/>
      <c r="L5" s="1"/>
      <c r="P5" s="1"/>
    </row>
    <row r="6" spans="1:16" x14ac:dyDescent="0.3">
      <c r="A6" s="1" t="s">
        <v>19</v>
      </c>
      <c r="C6" s="1">
        <v>46087</v>
      </c>
      <c r="G6" s="3"/>
      <c r="L6" s="1"/>
    </row>
    <row r="7" spans="1:16" x14ac:dyDescent="0.3">
      <c r="A7" s="1" t="s">
        <v>20</v>
      </c>
      <c r="C7" s="1">
        <v>46087</v>
      </c>
      <c r="L7" s="1"/>
    </row>
    <row r="8" spans="1:16" x14ac:dyDescent="0.3">
      <c r="A8" s="1" t="s">
        <v>21</v>
      </c>
      <c r="B8" s="1"/>
      <c r="C8" s="1">
        <v>46087</v>
      </c>
      <c r="G8" s="1"/>
      <c r="L8" s="1"/>
    </row>
    <row r="9" spans="1:16" x14ac:dyDescent="0.3">
      <c r="A9" s="1" t="s">
        <v>22</v>
      </c>
      <c r="B9" s="1"/>
      <c r="C9" s="1">
        <v>46087</v>
      </c>
      <c r="D9" s="1"/>
      <c r="E9" s="1"/>
      <c r="G9" s="1"/>
    </row>
    <row r="10" spans="1:16" x14ac:dyDescent="0.3">
      <c r="A10" s="1" t="s">
        <v>23</v>
      </c>
      <c r="B10" s="1"/>
      <c r="C10" s="1">
        <v>46087</v>
      </c>
      <c r="D10" s="1"/>
      <c r="E10" s="1"/>
      <c r="G10" s="1"/>
    </row>
    <row r="11" spans="1:16" x14ac:dyDescent="0.3">
      <c r="A11" s="1" t="s">
        <v>24</v>
      </c>
      <c r="C11" s="1">
        <v>46087</v>
      </c>
      <c r="D11" s="1"/>
      <c r="E11" s="1"/>
      <c r="G11" s="1"/>
    </row>
    <row r="12" spans="1:16" x14ac:dyDescent="0.3">
      <c r="A12" s="1" t="s">
        <v>25</v>
      </c>
      <c r="B12" s="1"/>
      <c r="C12" s="1">
        <v>46087</v>
      </c>
      <c r="D12" s="1"/>
      <c r="E12" s="1"/>
    </row>
    <row r="13" spans="1:16" x14ac:dyDescent="0.3">
      <c r="A13" s="1" t="s">
        <v>26</v>
      </c>
      <c r="C13" s="1">
        <v>46087</v>
      </c>
    </row>
    <row r="14" spans="1:16" x14ac:dyDescent="0.3">
      <c r="A14" s="1" t="s">
        <v>27</v>
      </c>
      <c r="C14" s="1">
        <v>46086</v>
      </c>
    </row>
    <row r="15" spans="1:16" x14ac:dyDescent="0.3">
      <c r="A15" s="1" t="s">
        <v>28</v>
      </c>
      <c r="C15" s="1">
        <v>46086</v>
      </c>
    </row>
    <row r="16" spans="1:16" x14ac:dyDescent="0.3">
      <c r="A16" s="1" t="s">
        <v>29</v>
      </c>
      <c r="B16" s="1">
        <v>46087</v>
      </c>
      <c r="C16" t="s">
        <v>42</v>
      </c>
    </row>
    <row r="17" spans="1:21" x14ac:dyDescent="0.3">
      <c r="A17" s="1" t="s">
        <v>30</v>
      </c>
      <c r="B17" s="1">
        <v>46087</v>
      </c>
      <c r="C17" s="1">
        <v>46088</v>
      </c>
    </row>
    <row r="18" spans="1:21" x14ac:dyDescent="0.3">
      <c r="A18" s="1" t="s">
        <v>31</v>
      </c>
      <c r="B18" s="1">
        <v>46087</v>
      </c>
      <c r="C18" t="s">
        <v>42</v>
      </c>
    </row>
    <row r="19" spans="1:21" x14ac:dyDescent="0.3">
      <c r="A19" s="1" t="s">
        <v>32</v>
      </c>
      <c r="C19" s="1">
        <v>46087</v>
      </c>
    </row>
    <row r="20" spans="1:21" x14ac:dyDescent="0.3">
      <c r="A20" s="1" t="s">
        <v>33</v>
      </c>
      <c r="C20" s="1">
        <v>46087</v>
      </c>
    </row>
    <row r="21" spans="1:21" x14ac:dyDescent="0.3">
      <c r="A21" s="1" t="s">
        <v>34</v>
      </c>
      <c r="C21" s="1">
        <v>46087</v>
      </c>
    </row>
    <row r="22" spans="1:21" x14ac:dyDescent="0.3">
      <c r="A22" s="1" t="s">
        <v>35</v>
      </c>
      <c r="C22" s="1">
        <v>46087</v>
      </c>
    </row>
    <row r="23" spans="1:21" x14ac:dyDescent="0.3">
      <c r="A23" s="1" t="s">
        <v>36</v>
      </c>
      <c r="C23" s="1">
        <v>46087</v>
      </c>
    </row>
    <row r="24" spans="1:21" x14ac:dyDescent="0.3">
      <c r="A24" s="1" t="s">
        <v>37</v>
      </c>
      <c r="B24" s="1">
        <v>46087</v>
      </c>
      <c r="C24" s="1" t="s">
        <v>42</v>
      </c>
    </row>
    <row r="25" spans="1:21" x14ac:dyDescent="0.3">
      <c r="A25" s="1" t="s">
        <v>38</v>
      </c>
      <c r="C25" s="1">
        <v>46087</v>
      </c>
    </row>
    <row r="26" spans="1:21" x14ac:dyDescent="0.3">
      <c r="A26" s="1" t="s">
        <v>39</v>
      </c>
      <c r="B26" s="1">
        <v>46087</v>
      </c>
      <c r="C26" s="1">
        <v>46089</v>
      </c>
    </row>
    <row r="27" spans="1:21" x14ac:dyDescent="0.3">
      <c r="A27" s="1" t="s">
        <v>40</v>
      </c>
      <c r="C27" s="1">
        <v>46087</v>
      </c>
    </row>
    <row r="28" spans="1:21" x14ac:dyDescent="0.3">
      <c r="A28" s="1" t="s">
        <v>41</v>
      </c>
      <c r="B28" s="1">
        <v>46087</v>
      </c>
      <c r="C28" s="1">
        <v>46089</v>
      </c>
    </row>
    <row r="29" spans="1:21" x14ac:dyDescent="0.3">
      <c r="G29" t="s">
        <v>92</v>
      </c>
      <c r="H29" t="s">
        <v>233</v>
      </c>
      <c r="I29" t="s">
        <v>8</v>
      </c>
      <c r="J29" t="s">
        <v>93</v>
      </c>
      <c r="K29" t="s">
        <v>234</v>
      </c>
      <c r="L29" t="s">
        <v>235</v>
      </c>
    </row>
    <row r="30" spans="1:21" x14ac:dyDescent="0.3">
      <c r="A30" s="1">
        <v>46102</v>
      </c>
      <c r="B30">
        <v>1</v>
      </c>
      <c r="C30" s="4" t="s">
        <v>49</v>
      </c>
      <c r="D30" s="17">
        <v>79</v>
      </c>
      <c r="G30">
        <v>116.3</v>
      </c>
      <c r="H30">
        <v>237.2</v>
      </c>
      <c r="I30">
        <v>0.51400000000000001</v>
      </c>
      <c r="J30">
        <v>96</v>
      </c>
    </row>
    <row r="31" spans="1:21" x14ac:dyDescent="0.3">
      <c r="B31">
        <v>2</v>
      </c>
      <c r="C31" t="s">
        <v>45</v>
      </c>
      <c r="D31">
        <v>95</v>
      </c>
      <c r="E31" t="s">
        <v>50</v>
      </c>
      <c r="F31" t="s">
        <v>51</v>
      </c>
      <c r="G31">
        <v>97</v>
      </c>
      <c r="H31">
        <v>236.3</v>
      </c>
      <c r="I31">
        <v>0.54</v>
      </c>
      <c r="J31">
        <v>77</v>
      </c>
      <c r="K31">
        <f>0.7*0.425</f>
        <v>0.29749999999999999</v>
      </c>
      <c r="L31">
        <f>K31*6</f>
        <v>1.7849999999999999</v>
      </c>
      <c r="M31" s="58"/>
      <c r="N31" s="58"/>
      <c r="O31" s="58"/>
      <c r="P31" s="58"/>
      <c r="T31" s="58"/>
      <c r="U31" s="58"/>
    </row>
    <row r="32" spans="1:21" x14ac:dyDescent="0.3">
      <c r="B32">
        <v>3</v>
      </c>
      <c r="C32" t="s">
        <v>46</v>
      </c>
      <c r="D32">
        <v>150.80000000000001</v>
      </c>
      <c r="E32" t="s">
        <v>50</v>
      </c>
      <c r="F32" t="s">
        <v>52</v>
      </c>
      <c r="G32">
        <v>221</v>
      </c>
      <c r="H32">
        <v>235.7</v>
      </c>
      <c r="I32">
        <v>1.02</v>
      </c>
      <c r="J32">
        <v>92</v>
      </c>
      <c r="M32" s="58"/>
      <c r="N32" s="58"/>
      <c r="O32" s="58"/>
      <c r="P32" s="58"/>
      <c r="T32" s="58"/>
      <c r="U32" s="58"/>
    </row>
    <row r="33" spans="1:21" x14ac:dyDescent="0.3">
      <c r="B33">
        <v>4</v>
      </c>
      <c r="C33" t="s">
        <v>47</v>
      </c>
      <c r="D33">
        <v>181.3</v>
      </c>
      <c r="E33" t="s">
        <v>50</v>
      </c>
      <c r="F33" t="s">
        <v>53</v>
      </c>
      <c r="G33">
        <v>321.5</v>
      </c>
      <c r="H33">
        <v>235.3</v>
      </c>
      <c r="I33">
        <v>1.359</v>
      </c>
      <c r="J33">
        <v>98</v>
      </c>
      <c r="M33" s="58"/>
      <c r="N33" s="58"/>
      <c r="O33" s="58"/>
      <c r="P33" s="58"/>
      <c r="T33" s="58"/>
      <c r="U33" s="58"/>
    </row>
    <row r="34" spans="1:21" x14ac:dyDescent="0.3">
      <c r="B34">
        <v>5</v>
      </c>
      <c r="C34" t="s">
        <v>48</v>
      </c>
      <c r="D34">
        <v>245.5</v>
      </c>
      <c r="E34" t="s">
        <v>50</v>
      </c>
      <c r="F34" t="s">
        <v>54</v>
      </c>
      <c r="G34">
        <v>478</v>
      </c>
      <c r="H34">
        <v>235</v>
      </c>
      <c r="I34">
        <v>2.0529999999999999</v>
      </c>
      <c r="J34">
        <v>100</v>
      </c>
      <c r="M34" s="58"/>
      <c r="N34" s="58"/>
      <c r="O34" s="58"/>
      <c r="P34" s="58"/>
      <c r="T34" s="58"/>
      <c r="U34" s="58"/>
    </row>
    <row r="35" spans="1:21" x14ac:dyDescent="0.3">
      <c r="A35" s="1">
        <v>46129</v>
      </c>
      <c r="B35" t="s">
        <v>74</v>
      </c>
      <c r="C35" t="s">
        <v>88</v>
      </c>
    </row>
    <row r="36" spans="1:21" x14ac:dyDescent="0.3">
      <c r="A36" s="1">
        <v>46130</v>
      </c>
      <c r="B36" t="s">
        <v>89</v>
      </c>
      <c r="C36" t="s">
        <v>90</v>
      </c>
    </row>
    <row r="37" spans="1:21" x14ac:dyDescent="0.3">
      <c r="A37" s="1">
        <v>46134</v>
      </c>
      <c r="B37" t="s">
        <v>160</v>
      </c>
    </row>
    <row r="38" spans="1:21" x14ac:dyDescent="0.3">
      <c r="A38" s="1">
        <v>46135</v>
      </c>
      <c r="B38" t="s">
        <v>159</v>
      </c>
    </row>
    <row r="39" spans="1:21" x14ac:dyDescent="0.3">
      <c r="A39" t="s">
        <v>75</v>
      </c>
    </row>
    <row r="40" spans="1:21" x14ac:dyDescent="0.3">
      <c r="A40" t="s">
        <v>193</v>
      </c>
      <c r="B40" t="s">
        <v>225</v>
      </c>
    </row>
    <row r="41" spans="1:21" x14ac:dyDescent="0.3">
      <c r="A41" t="s">
        <v>64</v>
      </c>
      <c r="B41" t="s">
        <v>225</v>
      </c>
    </row>
    <row r="42" spans="1:21" x14ac:dyDescent="0.3">
      <c r="A42" t="s">
        <v>63</v>
      </c>
    </row>
    <row r="43" spans="1:21" x14ac:dyDescent="0.3">
      <c r="A43" t="s">
        <v>194</v>
      </c>
      <c r="B43" t="s">
        <v>225</v>
      </c>
    </row>
    <row r="44" spans="1:21" x14ac:dyDescent="0.3">
      <c r="A44" t="s">
        <v>195</v>
      </c>
      <c r="B44" t="s">
        <v>225</v>
      </c>
    </row>
    <row r="45" spans="1:21" x14ac:dyDescent="0.3">
      <c r="A45" t="s">
        <v>196</v>
      </c>
      <c r="B45" t="s">
        <v>225</v>
      </c>
    </row>
    <row r="46" spans="1:21" x14ac:dyDescent="0.3">
      <c r="A46" t="s">
        <v>67</v>
      </c>
      <c r="B46" t="s">
        <v>225</v>
      </c>
    </row>
    <row r="47" spans="1:21" x14ac:dyDescent="0.3">
      <c r="A47" t="s">
        <v>197</v>
      </c>
    </row>
    <row r="48" spans="1:21" x14ac:dyDescent="0.3">
      <c r="A48" t="s">
        <v>198</v>
      </c>
      <c r="B48" t="s">
        <v>225</v>
      </c>
    </row>
    <row r="49" spans="1:2" x14ac:dyDescent="0.3">
      <c r="A49" t="s">
        <v>199</v>
      </c>
      <c r="B49" t="s">
        <v>225</v>
      </c>
    </row>
    <row r="50" spans="1:2" x14ac:dyDescent="0.3">
      <c r="A50" t="s">
        <v>200</v>
      </c>
    </row>
    <row r="51" spans="1:2" x14ac:dyDescent="0.3">
      <c r="A51" t="s">
        <v>201</v>
      </c>
      <c r="B51" t="s">
        <v>225</v>
      </c>
    </row>
    <row r="52" spans="1:2" x14ac:dyDescent="0.3">
      <c r="A52" t="s">
        <v>202</v>
      </c>
      <c r="B52" t="s">
        <v>225</v>
      </c>
    </row>
    <row r="53" spans="1:2" x14ac:dyDescent="0.3">
      <c r="A53" t="s">
        <v>203</v>
      </c>
      <c r="B53" t="s">
        <v>225</v>
      </c>
    </row>
    <row r="54" spans="1:2" x14ac:dyDescent="0.3">
      <c r="A54" t="s">
        <v>204</v>
      </c>
      <c r="B54" t="s">
        <v>225</v>
      </c>
    </row>
    <row r="55" spans="1:2" x14ac:dyDescent="0.3">
      <c r="A55" t="s">
        <v>58</v>
      </c>
    </row>
    <row r="56" spans="1:2" x14ac:dyDescent="0.3">
      <c r="A56" t="s">
        <v>66</v>
      </c>
    </row>
    <row r="57" spans="1:2" x14ac:dyDescent="0.3">
      <c r="A57" t="s">
        <v>205</v>
      </c>
    </row>
    <row r="58" spans="1:2" x14ac:dyDescent="0.3">
      <c r="A58" t="s">
        <v>206</v>
      </c>
      <c r="B58" t="s">
        <v>225</v>
      </c>
    </row>
    <row r="59" spans="1:2" x14ac:dyDescent="0.3">
      <c r="A59" t="s">
        <v>207</v>
      </c>
    </row>
    <row r="60" spans="1:2" x14ac:dyDescent="0.3">
      <c r="A60" t="s">
        <v>208</v>
      </c>
      <c r="B60" t="s">
        <v>225</v>
      </c>
    </row>
    <row r="61" spans="1:2" x14ac:dyDescent="0.3">
      <c r="A61" t="s">
        <v>209</v>
      </c>
      <c r="B61" t="s">
        <v>225</v>
      </c>
    </row>
    <row r="62" spans="1:2" x14ac:dyDescent="0.3">
      <c r="A62" t="s">
        <v>210</v>
      </c>
      <c r="B62" t="s">
        <v>225</v>
      </c>
    </row>
    <row r="63" spans="1:2" x14ac:dyDescent="0.3">
      <c r="A63" t="s">
        <v>211</v>
      </c>
      <c r="B63" t="s">
        <v>225</v>
      </c>
    </row>
    <row r="64" spans="1:2" x14ac:dyDescent="0.3">
      <c r="A64" t="s">
        <v>212</v>
      </c>
      <c r="B64" t="s">
        <v>225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77DD-C1B9-48A8-9E9B-E357B73BA3FD}">
  <dimension ref="A1:BT146"/>
  <sheetViews>
    <sheetView zoomScaleNormal="100" zoomScaleSheetLayoutView="100" workbookViewId="0">
      <pane xSplit="1" topLeftCell="B1" activePane="topRight" state="frozen"/>
      <selection activeCell="A30" sqref="A30"/>
      <selection pane="topRight" activeCell="AK32" sqref="AK32"/>
    </sheetView>
  </sheetViews>
  <sheetFormatPr defaultRowHeight="14.4" x14ac:dyDescent="0.3"/>
  <cols>
    <col min="1" max="2" width="8.88671875" style="25"/>
    <col min="3" max="8" width="8.88671875" style="26"/>
    <col min="9" max="9" width="8.88671875" style="27"/>
    <col min="10" max="10" width="11.5546875" style="25" bestFit="1" customWidth="1"/>
    <col min="11" max="11" width="8.88671875" style="25"/>
    <col min="12" max="12" width="8.88671875" style="26"/>
    <col min="13" max="13" width="11.5546875" style="26" bestFit="1" customWidth="1"/>
    <col min="14" max="17" width="8.88671875" style="26"/>
    <col min="18" max="18" width="8.88671875" style="27"/>
    <col min="19" max="20" width="8.88671875" style="25"/>
    <col min="21" max="25" width="8.88671875" style="26"/>
    <col min="26" max="26" width="11.5546875" style="26" bestFit="1" customWidth="1"/>
    <col min="27" max="27" width="9.44140625" style="28" bestFit="1" customWidth="1"/>
    <col min="28" max="28" width="9.44140625" style="25" bestFit="1" customWidth="1"/>
    <col min="29" max="29" width="8.88671875" style="25"/>
    <col min="30" max="30" width="16.44140625" style="26" bestFit="1" customWidth="1"/>
    <col min="31" max="32" width="9.44140625" style="26" bestFit="1" customWidth="1"/>
    <col min="33" max="35" width="8.88671875" style="26"/>
    <col min="36" max="36" width="8.88671875" style="28"/>
    <col min="37" max="38" width="8.88671875" style="25"/>
    <col min="39" max="44" width="8.88671875" style="26"/>
    <col min="45" max="45" width="8.88671875" style="28"/>
    <col min="46" max="47" width="8.88671875" style="25"/>
    <col min="48" max="48" width="22.88671875" style="26" bestFit="1" customWidth="1"/>
    <col min="49" max="50" width="8.88671875" style="26"/>
    <col min="51" max="51" width="9.5546875" style="26" customWidth="1"/>
    <col min="52" max="53" width="8.88671875" style="26"/>
    <col min="54" max="54" width="8.88671875" style="28"/>
    <col min="55" max="56" width="8.88671875" style="25"/>
    <col min="57" max="57" width="14.33203125" style="26" bestFit="1" customWidth="1"/>
    <col min="58" max="62" width="8.88671875" style="26"/>
    <col min="63" max="63" width="8.88671875" style="28"/>
    <col min="64" max="65" width="8.88671875" style="25"/>
    <col min="66" max="66" width="13.6640625" style="26" bestFit="1" customWidth="1"/>
    <col min="67" max="71" width="8.88671875" style="26"/>
    <col min="72" max="16384" width="8.88671875" style="9"/>
  </cols>
  <sheetData>
    <row r="1" spans="1:71" x14ac:dyDescent="0.3">
      <c r="A1" s="25" t="s">
        <v>75</v>
      </c>
      <c r="B1" s="25" t="s">
        <v>56</v>
      </c>
      <c r="C1" s="26" t="s">
        <v>76</v>
      </c>
      <c r="J1" s="25" t="s">
        <v>75</v>
      </c>
      <c r="K1" s="25" t="s">
        <v>56</v>
      </c>
      <c r="L1" s="26" t="s">
        <v>77</v>
      </c>
      <c r="S1" s="25" t="s">
        <v>75</v>
      </c>
      <c r="T1" s="25" t="s">
        <v>56</v>
      </c>
      <c r="U1" s="26" t="s">
        <v>78</v>
      </c>
      <c r="V1" s="26">
        <v>2</v>
      </c>
      <c r="W1" s="26">
        <v>3</v>
      </c>
      <c r="X1" s="26">
        <v>4</v>
      </c>
      <c r="AB1" s="25" t="s">
        <v>75</v>
      </c>
      <c r="AC1" s="25" t="s">
        <v>56</v>
      </c>
      <c r="AD1" s="26" t="s">
        <v>86</v>
      </c>
      <c r="AE1" s="26">
        <v>2</v>
      </c>
      <c r="AF1" s="26">
        <v>3</v>
      </c>
      <c r="AG1" s="26">
        <v>4</v>
      </c>
      <c r="AH1" s="26">
        <v>5</v>
      </c>
      <c r="AI1" s="26">
        <v>6</v>
      </c>
      <c r="AK1" s="25" t="s">
        <v>75</v>
      </c>
      <c r="AL1" s="25" t="s">
        <v>56</v>
      </c>
      <c r="AM1" s="26" t="s">
        <v>79</v>
      </c>
      <c r="AN1" s="26">
        <v>2</v>
      </c>
      <c r="AO1" s="26">
        <v>3</v>
      </c>
      <c r="AP1" s="26">
        <v>4</v>
      </c>
      <c r="AQ1" s="26">
        <v>5</v>
      </c>
      <c r="AR1" s="26">
        <v>6</v>
      </c>
      <c r="AT1" s="25" t="s">
        <v>75</v>
      </c>
      <c r="AU1" s="25" t="s">
        <v>56</v>
      </c>
      <c r="AV1" s="26" t="s">
        <v>80</v>
      </c>
      <c r="AW1" s="26">
        <v>2</v>
      </c>
      <c r="AX1" s="26">
        <v>3</v>
      </c>
      <c r="AY1" s="26">
        <v>4</v>
      </c>
      <c r="AZ1" s="26">
        <v>5</v>
      </c>
      <c r="BA1" s="26">
        <v>6</v>
      </c>
      <c r="BC1" s="25" t="s">
        <v>75</v>
      </c>
      <c r="BD1" s="25" t="s">
        <v>56</v>
      </c>
      <c r="BE1" s="26" t="s">
        <v>81</v>
      </c>
      <c r="BF1" s="26">
        <v>2</v>
      </c>
      <c r="BG1" s="26">
        <v>3</v>
      </c>
      <c r="BH1" s="26">
        <v>4</v>
      </c>
      <c r="BI1" s="26">
        <v>5</v>
      </c>
      <c r="BJ1" s="26">
        <v>6</v>
      </c>
      <c r="BL1" s="25" t="s">
        <v>75</v>
      </c>
      <c r="BM1" s="25" t="s">
        <v>56</v>
      </c>
      <c r="BN1" s="26" t="s">
        <v>82</v>
      </c>
      <c r="BO1" s="26">
        <v>2</v>
      </c>
      <c r="BP1" s="26">
        <v>3</v>
      </c>
      <c r="BQ1" s="26">
        <v>4</v>
      </c>
      <c r="BR1" s="26">
        <v>5</v>
      </c>
      <c r="BS1" s="26">
        <v>6</v>
      </c>
    </row>
    <row r="2" spans="1:71" s="7" customFormat="1" x14ac:dyDescent="0.3">
      <c r="A2" s="25" t="s">
        <v>65</v>
      </c>
      <c r="B2" s="29">
        <v>1</v>
      </c>
      <c r="C2" s="30">
        <v>9.5</v>
      </c>
      <c r="D2" s="30">
        <v>13.1</v>
      </c>
      <c r="E2" s="30">
        <v>8.6999999999999993</v>
      </c>
      <c r="F2" s="30">
        <v>10.4</v>
      </c>
      <c r="G2" s="30"/>
      <c r="H2" s="30"/>
      <c r="I2" s="31">
        <f>AVERAGE(C2:H2)</f>
        <v>10.425000000000001</v>
      </c>
      <c r="J2" s="25" t="s">
        <v>65</v>
      </c>
      <c r="K2" s="29">
        <v>1</v>
      </c>
      <c r="L2" s="30">
        <v>34</v>
      </c>
      <c r="M2" s="30">
        <v>32.799999999999997</v>
      </c>
      <c r="N2" s="30">
        <v>36.1</v>
      </c>
      <c r="O2" s="30">
        <v>29.3</v>
      </c>
      <c r="P2" s="32"/>
      <c r="Q2" s="32"/>
      <c r="R2" s="31">
        <f>AVERAGE(L2:Q2)</f>
        <v>33.050000000000004</v>
      </c>
      <c r="S2" s="25" t="s">
        <v>65</v>
      </c>
      <c r="T2" s="29">
        <v>1</v>
      </c>
      <c r="U2" s="30">
        <v>15</v>
      </c>
      <c r="V2" s="33">
        <v>28.9</v>
      </c>
      <c r="W2" s="33">
        <v>23.1</v>
      </c>
      <c r="X2" s="32">
        <v>16</v>
      </c>
      <c r="Y2" s="32"/>
      <c r="Z2" s="33"/>
      <c r="AA2" s="34"/>
      <c r="AB2" s="25" t="s">
        <v>65</v>
      </c>
      <c r="AC2" s="29">
        <v>1</v>
      </c>
      <c r="AD2" s="30">
        <v>19</v>
      </c>
      <c r="AE2" s="33"/>
      <c r="AF2" s="33">
        <v>14</v>
      </c>
      <c r="AG2" s="32"/>
      <c r="AH2" s="32"/>
      <c r="AI2" s="32"/>
      <c r="AJ2" s="35"/>
      <c r="AK2" s="25" t="s">
        <v>65</v>
      </c>
      <c r="AL2" s="29">
        <v>1</v>
      </c>
      <c r="AM2" s="30">
        <v>45.17</v>
      </c>
      <c r="AN2" s="33"/>
      <c r="AO2" s="33">
        <v>32.340000000000003</v>
      </c>
      <c r="AP2" s="32">
        <v>44.05</v>
      </c>
      <c r="AQ2" s="32"/>
      <c r="AR2" s="32"/>
      <c r="AS2" s="71">
        <f>AVERAGE(AM2:AR2)</f>
        <v>40.520000000000003</v>
      </c>
      <c r="AT2" s="25" t="s">
        <v>65</v>
      </c>
      <c r="AU2" s="29">
        <v>1</v>
      </c>
      <c r="AV2" s="30">
        <v>1.8</v>
      </c>
      <c r="AW2" s="33"/>
      <c r="AX2" s="33">
        <v>1.05</v>
      </c>
      <c r="AY2" s="32">
        <v>3.52</v>
      </c>
      <c r="AZ2" s="32"/>
      <c r="BA2" s="32"/>
      <c r="BB2" s="35"/>
      <c r="BC2" s="25" t="s">
        <v>65</v>
      </c>
      <c r="BD2" s="29">
        <v>1</v>
      </c>
      <c r="BE2" s="30">
        <v>1.62</v>
      </c>
      <c r="BF2" s="33"/>
      <c r="BG2" s="33">
        <v>1.2</v>
      </c>
      <c r="BH2" s="32">
        <v>1.88</v>
      </c>
      <c r="BI2" s="32"/>
      <c r="BJ2" s="32"/>
      <c r="BK2" s="35"/>
      <c r="BL2" s="25" t="s">
        <v>65</v>
      </c>
      <c r="BM2" s="29">
        <v>1</v>
      </c>
      <c r="BN2" s="30">
        <v>1.01</v>
      </c>
      <c r="BO2" s="33"/>
      <c r="BP2" s="33">
        <v>1.03</v>
      </c>
      <c r="BQ2" s="32">
        <v>1.24</v>
      </c>
      <c r="BR2" s="32"/>
      <c r="BS2" s="32"/>
    </row>
    <row r="3" spans="1:71" x14ac:dyDescent="0.3">
      <c r="B3" s="25">
        <v>2</v>
      </c>
      <c r="C3" s="36">
        <v>9.5</v>
      </c>
      <c r="D3" s="36">
        <v>14.3</v>
      </c>
      <c r="E3" s="36">
        <v>12</v>
      </c>
      <c r="F3" s="36">
        <v>12.5</v>
      </c>
      <c r="G3" s="37"/>
      <c r="H3" s="30"/>
      <c r="I3" s="31">
        <f t="shared" ref="I3:I31" si="0">AVERAGE(C3:H3)</f>
        <v>12.074999999999999</v>
      </c>
      <c r="K3" s="25">
        <v>2</v>
      </c>
      <c r="L3" s="36">
        <v>34</v>
      </c>
      <c r="M3" s="30">
        <v>31.2</v>
      </c>
      <c r="N3" s="30">
        <v>35.5</v>
      </c>
      <c r="O3" s="30">
        <v>33.5</v>
      </c>
      <c r="P3" s="30"/>
      <c r="Q3" s="30"/>
      <c r="R3" s="31">
        <f t="shared" ref="R3:R31" si="1">AVERAGE(L3:Q3)</f>
        <v>33.549999999999997</v>
      </c>
      <c r="T3" s="25">
        <v>2</v>
      </c>
      <c r="U3" s="36">
        <v>35</v>
      </c>
      <c r="V3" s="33">
        <v>36.5</v>
      </c>
      <c r="W3" s="33">
        <v>31</v>
      </c>
      <c r="X3" s="26">
        <v>44</v>
      </c>
      <c r="Y3" s="32"/>
      <c r="Z3" s="32"/>
      <c r="AA3" s="35"/>
      <c r="AC3" s="25">
        <v>2</v>
      </c>
      <c r="AD3" s="36"/>
      <c r="AE3" s="33"/>
      <c r="AF3" s="33">
        <v>27</v>
      </c>
      <c r="AG3" s="26">
        <v>18</v>
      </c>
      <c r="AL3" s="25">
        <v>2</v>
      </c>
      <c r="AM3" s="36">
        <v>114.01</v>
      </c>
      <c r="AN3" s="33"/>
      <c r="AO3" s="33">
        <v>96.63</v>
      </c>
      <c r="AP3" s="26">
        <v>100.8</v>
      </c>
      <c r="AS3" s="71">
        <f t="shared" ref="AS3:AS6" si="2">AVERAGE(AM3:AR3)</f>
        <v>103.81333333333333</v>
      </c>
      <c r="AU3" s="25">
        <v>2</v>
      </c>
      <c r="AV3" s="36">
        <v>5.07</v>
      </c>
      <c r="AW3" s="33"/>
      <c r="AX3" s="33">
        <v>13.78</v>
      </c>
      <c r="AY3" s="26">
        <v>1.84</v>
      </c>
      <c r="BD3" s="25">
        <v>2</v>
      </c>
      <c r="BE3" s="36">
        <v>4.68</v>
      </c>
      <c r="BF3" s="33"/>
      <c r="BG3" s="33">
        <v>4.79</v>
      </c>
      <c r="BH3" s="26">
        <v>3.27</v>
      </c>
      <c r="BM3" s="25">
        <v>2</v>
      </c>
      <c r="BN3" s="36">
        <v>8.9700000000000006</v>
      </c>
      <c r="BO3" s="33"/>
      <c r="BP3" s="33">
        <v>5.93</v>
      </c>
      <c r="BQ3" s="26">
        <v>5.33</v>
      </c>
    </row>
    <row r="4" spans="1:71" x14ac:dyDescent="0.3">
      <c r="B4" s="25">
        <v>3</v>
      </c>
      <c r="C4" s="26">
        <v>14</v>
      </c>
      <c r="D4" s="26">
        <v>12.9</v>
      </c>
      <c r="E4" s="26">
        <v>13.6</v>
      </c>
      <c r="F4" s="26">
        <v>15.2</v>
      </c>
      <c r="G4" s="36"/>
      <c r="H4" s="36"/>
      <c r="I4" s="31">
        <f t="shared" si="0"/>
        <v>13.925000000000001</v>
      </c>
      <c r="K4" s="25">
        <v>3</v>
      </c>
      <c r="L4" s="26">
        <v>29.8</v>
      </c>
      <c r="M4" s="38">
        <v>30</v>
      </c>
      <c r="N4" s="38">
        <v>29.5</v>
      </c>
      <c r="O4" s="36">
        <v>30</v>
      </c>
      <c r="P4" s="38"/>
      <c r="Q4" s="38"/>
      <c r="R4" s="31">
        <f t="shared" si="1"/>
        <v>29.824999999999999</v>
      </c>
      <c r="T4" s="25">
        <v>3</v>
      </c>
      <c r="U4" s="26">
        <v>34.5</v>
      </c>
      <c r="V4" s="33">
        <v>24.5</v>
      </c>
      <c r="W4" s="33">
        <v>34.799999999999997</v>
      </c>
      <c r="X4" s="26">
        <v>27.2</v>
      </c>
      <c r="AC4" s="25">
        <v>3</v>
      </c>
      <c r="AD4" s="26">
        <v>16</v>
      </c>
      <c r="AE4" s="33"/>
      <c r="AF4" s="33">
        <v>25</v>
      </c>
      <c r="AG4" s="26">
        <v>32</v>
      </c>
      <c r="AL4" s="25">
        <v>3</v>
      </c>
      <c r="AM4" s="26">
        <v>72.989999999999995</v>
      </c>
      <c r="AN4" s="33"/>
      <c r="AO4" s="33">
        <v>86.83</v>
      </c>
      <c r="AP4" s="26">
        <v>122.33</v>
      </c>
      <c r="AS4" s="71">
        <f t="shared" si="2"/>
        <v>94.05</v>
      </c>
      <c r="AU4" s="25">
        <v>3</v>
      </c>
      <c r="AV4" s="26">
        <v>0</v>
      </c>
      <c r="AW4" s="33"/>
      <c r="AX4" s="33">
        <v>14.66</v>
      </c>
      <c r="AY4" s="26">
        <v>4.78</v>
      </c>
      <c r="BD4" s="25">
        <v>3</v>
      </c>
      <c r="BE4" s="26">
        <v>2.21</v>
      </c>
      <c r="BF4" s="33"/>
      <c r="BG4" s="33">
        <v>4.58</v>
      </c>
      <c r="BH4" s="26">
        <v>6.77</v>
      </c>
      <c r="BM4" s="25">
        <v>3</v>
      </c>
      <c r="BN4" s="26">
        <v>6.35</v>
      </c>
      <c r="BO4" s="33"/>
      <c r="BP4" s="33">
        <v>9.06</v>
      </c>
      <c r="BQ4" s="26">
        <v>9.75</v>
      </c>
    </row>
    <row r="5" spans="1:71" x14ac:dyDescent="0.3">
      <c r="B5" s="25">
        <v>4</v>
      </c>
      <c r="C5" s="26">
        <v>12.6</v>
      </c>
      <c r="D5" s="26">
        <v>14.7</v>
      </c>
      <c r="E5" s="26">
        <v>13.8</v>
      </c>
      <c r="F5" s="26">
        <v>15.1</v>
      </c>
      <c r="G5" s="36"/>
      <c r="I5" s="31">
        <f t="shared" si="0"/>
        <v>14.049999999999999</v>
      </c>
      <c r="K5" s="25">
        <v>4</v>
      </c>
      <c r="L5" s="26">
        <v>35.200000000000003</v>
      </c>
      <c r="M5" s="38">
        <v>32</v>
      </c>
      <c r="N5" s="38">
        <v>28.2</v>
      </c>
      <c r="O5" s="26">
        <v>36.1</v>
      </c>
      <c r="P5" s="38"/>
      <c r="Q5" s="38"/>
      <c r="R5" s="31">
        <f t="shared" si="1"/>
        <v>32.875</v>
      </c>
      <c r="T5" s="25">
        <v>4</v>
      </c>
      <c r="U5" s="26">
        <v>37.5</v>
      </c>
      <c r="V5" s="33">
        <v>28</v>
      </c>
      <c r="W5" s="33">
        <v>44</v>
      </c>
      <c r="X5" s="26">
        <v>30.5</v>
      </c>
      <c r="AC5" s="25">
        <v>4</v>
      </c>
      <c r="AD5" s="26">
        <v>34</v>
      </c>
      <c r="AE5" s="33"/>
      <c r="AF5" s="33">
        <v>19</v>
      </c>
      <c r="AG5" s="26">
        <v>36</v>
      </c>
      <c r="AL5" s="25">
        <v>4</v>
      </c>
      <c r="AM5" s="26">
        <v>113.94</v>
      </c>
      <c r="AN5" s="33"/>
      <c r="AO5" s="33">
        <v>48.73</v>
      </c>
      <c r="AP5" s="26">
        <v>163.81</v>
      </c>
      <c r="AS5" s="71">
        <f t="shared" si="2"/>
        <v>108.82666666666667</v>
      </c>
      <c r="AU5" s="25">
        <v>4</v>
      </c>
      <c r="AV5" s="26">
        <v>7.85</v>
      </c>
      <c r="AW5" s="33"/>
      <c r="AX5" s="33">
        <v>18.18</v>
      </c>
      <c r="AY5" s="26">
        <v>5.39</v>
      </c>
      <c r="BD5" s="25">
        <v>4</v>
      </c>
      <c r="BE5" s="26">
        <v>5.94</v>
      </c>
      <c r="BF5" s="33"/>
      <c r="BG5" s="33">
        <v>4.16</v>
      </c>
      <c r="BH5" s="26">
        <v>5.89</v>
      </c>
      <c r="BM5" s="25">
        <v>4</v>
      </c>
      <c r="BN5" s="26">
        <v>9.25</v>
      </c>
      <c r="BO5" s="33"/>
      <c r="BP5" s="33">
        <v>7.82</v>
      </c>
      <c r="BQ5" s="26">
        <v>13.36</v>
      </c>
    </row>
    <row r="6" spans="1:71" x14ac:dyDescent="0.3">
      <c r="B6" s="25">
        <v>5</v>
      </c>
      <c r="C6" s="26">
        <v>13.1</v>
      </c>
      <c r="D6" s="26">
        <v>16.3</v>
      </c>
      <c r="E6" s="26">
        <v>14.2</v>
      </c>
      <c r="F6" s="26">
        <v>15.4</v>
      </c>
      <c r="G6" s="36"/>
      <c r="I6" s="31">
        <f t="shared" si="0"/>
        <v>14.749999999999998</v>
      </c>
      <c r="K6" s="25">
        <v>5</v>
      </c>
      <c r="L6" s="26">
        <v>28.5</v>
      </c>
      <c r="M6" s="38">
        <v>24.5</v>
      </c>
      <c r="N6" s="38">
        <v>29</v>
      </c>
      <c r="O6" s="26">
        <v>32.299999999999997</v>
      </c>
      <c r="P6" s="38"/>
      <c r="Q6" s="38"/>
      <c r="R6" s="31">
        <f t="shared" si="1"/>
        <v>28.574999999999999</v>
      </c>
      <c r="T6" s="25">
        <v>5</v>
      </c>
      <c r="U6" s="26">
        <v>36.299999999999997</v>
      </c>
      <c r="V6" s="33">
        <v>43</v>
      </c>
      <c r="W6" s="33">
        <v>32.299999999999997</v>
      </c>
      <c r="X6" s="26">
        <v>28</v>
      </c>
      <c r="AC6" s="25">
        <v>5</v>
      </c>
      <c r="AD6" s="26">
        <v>20</v>
      </c>
      <c r="AE6" s="33"/>
      <c r="AF6" s="33">
        <v>27</v>
      </c>
      <c r="AG6" s="26">
        <v>26</v>
      </c>
      <c r="AL6" s="25">
        <v>5</v>
      </c>
      <c r="AM6" s="26">
        <v>72.760000000000005</v>
      </c>
      <c r="AN6" s="33"/>
      <c r="AO6" s="33">
        <v>140.75</v>
      </c>
      <c r="AP6" s="26">
        <v>163.9</v>
      </c>
      <c r="AS6" s="71">
        <f t="shared" si="2"/>
        <v>125.80333333333333</v>
      </c>
      <c r="AU6" s="25">
        <v>5</v>
      </c>
      <c r="AV6" s="26">
        <v>23.16</v>
      </c>
      <c r="AW6" s="33"/>
      <c r="AX6" s="33">
        <v>15.25</v>
      </c>
      <c r="AY6" s="26">
        <v>13.73</v>
      </c>
      <c r="BD6" s="25">
        <v>5</v>
      </c>
      <c r="BE6" s="26">
        <v>8.39</v>
      </c>
      <c r="BF6" s="33"/>
      <c r="BG6" s="33">
        <v>11.03</v>
      </c>
      <c r="BH6" s="26">
        <v>8.57</v>
      </c>
      <c r="BM6" s="25">
        <v>5</v>
      </c>
      <c r="BN6" s="26">
        <v>13.23</v>
      </c>
      <c r="BO6" s="33"/>
      <c r="BP6" s="33">
        <v>13.75</v>
      </c>
      <c r="BQ6" s="26">
        <v>15.69</v>
      </c>
    </row>
    <row r="7" spans="1:71" x14ac:dyDescent="0.3">
      <c r="A7" s="25" t="s">
        <v>66</v>
      </c>
      <c r="B7" s="29">
        <v>1</v>
      </c>
      <c r="C7" s="39">
        <v>19</v>
      </c>
      <c r="D7" s="39">
        <v>17</v>
      </c>
      <c r="E7" s="39">
        <v>19</v>
      </c>
      <c r="F7" s="39">
        <v>18</v>
      </c>
      <c r="G7" s="36">
        <v>21</v>
      </c>
      <c r="H7" s="39">
        <v>20</v>
      </c>
      <c r="I7" s="31">
        <f t="shared" si="0"/>
        <v>19</v>
      </c>
      <c r="J7" s="25" t="s">
        <v>66</v>
      </c>
      <c r="K7" s="29">
        <v>1</v>
      </c>
      <c r="L7" s="39">
        <v>23</v>
      </c>
      <c r="M7" s="40">
        <v>23</v>
      </c>
      <c r="N7" s="39">
        <v>20</v>
      </c>
      <c r="O7" s="39">
        <v>24</v>
      </c>
      <c r="P7" s="39">
        <v>20</v>
      </c>
      <c r="Q7" s="40">
        <v>24</v>
      </c>
      <c r="R7" s="31">
        <f t="shared" si="1"/>
        <v>22.333333333333332</v>
      </c>
      <c r="S7" s="25" t="s">
        <v>66</v>
      </c>
      <c r="T7" s="29">
        <v>1</v>
      </c>
      <c r="U7" s="39">
        <v>7</v>
      </c>
      <c r="V7" s="33">
        <v>15</v>
      </c>
      <c r="W7" s="33">
        <v>11</v>
      </c>
      <c r="X7" s="26">
        <v>11</v>
      </c>
      <c r="Y7" s="26">
        <v>9</v>
      </c>
      <c r="Z7" s="26">
        <v>2</v>
      </c>
      <c r="AB7" s="25" t="s">
        <v>66</v>
      </c>
      <c r="AC7" s="29">
        <v>1</v>
      </c>
      <c r="AD7" s="39">
        <v>15</v>
      </c>
      <c r="AE7" s="33">
        <v>15</v>
      </c>
      <c r="AF7" s="41">
        <v>9</v>
      </c>
      <c r="AG7" s="42"/>
      <c r="AH7" s="42">
        <v>10</v>
      </c>
      <c r="AI7" s="26">
        <v>14</v>
      </c>
      <c r="AK7" s="25" t="s">
        <v>66</v>
      </c>
      <c r="AL7" s="29">
        <v>1</v>
      </c>
      <c r="AM7" s="39">
        <v>32.369999999999997</v>
      </c>
      <c r="AN7" s="33">
        <v>44.05</v>
      </c>
      <c r="AO7" s="41">
        <v>23.87</v>
      </c>
      <c r="AP7" s="42"/>
      <c r="AQ7" s="42">
        <v>15.5</v>
      </c>
      <c r="AR7" s="26">
        <v>33.159999999999997</v>
      </c>
      <c r="AT7" s="25" t="s">
        <v>66</v>
      </c>
      <c r="AU7" s="29">
        <v>1</v>
      </c>
      <c r="AV7" s="39">
        <v>4.9000000000000004</v>
      </c>
      <c r="AW7" s="33">
        <v>13.23</v>
      </c>
      <c r="AX7" s="41">
        <v>13.8</v>
      </c>
      <c r="AY7" s="42"/>
      <c r="AZ7" s="42">
        <v>13.9</v>
      </c>
      <c r="BA7" s="26">
        <v>7.22</v>
      </c>
      <c r="BC7" s="25" t="s">
        <v>66</v>
      </c>
      <c r="BD7" s="29">
        <v>1</v>
      </c>
      <c r="BE7" s="39">
        <v>0.6</v>
      </c>
      <c r="BF7" s="33">
        <v>0.83</v>
      </c>
      <c r="BG7" s="41">
        <v>1.63</v>
      </c>
      <c r="BH7" s="42"/>
      <c r="BI7" s="42">
        <v>1.31</v>
      </c>
      <c r="BJ7" s="26">
        <v>2</v>
      </c>
      <c r="BL7" s="25" t="s">
        <v>66</v>
      </c>
      <c r="BM7" s="29">
        <v>1</v>
      </c>
      <c r="BN7" s="39">
        <v>0.5</v>
      </c>
      <c r="BO7" s="33">
        <v>1.18</v>
      </c>
      <c r="BP7" s="41">
        <v>0.98</v>
      </c>
      <c r="BQ7" s="42"/>
      <c r="BR7" s="42">
        <v>0.39</v>
      </c>
      <c r="BS7" s="26">
        <v>0.5</v>
      </c>
    </row>
    <row r="8" spans="1:71" x14ac:dyDescent="0.3">
      <c r="B8" s="25">
        <v>2</v>
      </c>
      <c r="C8" s="39">
        <v>15</v>
      </c>
      <c r="D8" s="39">
        <v>17</v>
      </c>
      <c r="E8" s="39">
        <v>17</v>
      </c>
      <c r="F8" s="39">
        <v>19</v>
      </c>
      <c r="G8" s="36">
        <v>20</v>
      </c>
      <c r="H8" s="39">
        <v>18</v>
      </c>
      <c r="I8" s="31">
        <f t="shared" si="0"/>
        <v>17.666666666666668</v>
      </c>
      <c r="K8" s="25">
        <v>2</v>
      </c>
      <c r="L8" s="39">
        <v>29</v>
      </c>
      <c r="M8" s="40">
        <v>26</v>
      </c>
      <c r="N8" s="39">
        <v>24</v>
      </c>
      <c r="O8" s="39">
        <v>29</v>
      </c>
      <c r="P8" s="39">
        <v>28</v>
      </c>
      <c r="Q8" s="40">
        <v>23</v>
      </c>
      <c r="R8" s="31">
        <f t="shared" si="1"/>
        <v>26.5</v>
      </c>
      <c r="T8" s="25">
        <v>2</v>
      </c>
      <c r="U8" s="39">
        <v>30</v>
      </c>
      <c r="V8" s="33">
        <v>27</v>
      </c>
      <c r="W8" s="33">
        <v>26</v>
      </c>
      <c r="X8" s="26">
        <v>21</v>
      </c>
      <c r="Y8" s="26">
        <v>31</v>
      </c>
      <c r="Z8" s="26">
        <v>31</v>
      </c>
      <c r="AC8" s="25">
        <v>2</v>
      </c>
      <c r="AD8" s="39">
        <v>20</v>
      </c>
      <c r="AE8" s="33">
        <v>20</v>
      </c>
      <c r="AF8" s="41">
        <v>17</v>
      </c>
      <c r="AG8" s="42"/>
      <c r="AH8" s="42">
        <v>22</v>
      </c>
      <c r="AI8" s="26">
        <v>19</v>
      </c>
      <c r="AL8" s="25">
        <v>2</v>
      </c>
      <c r="AM8" s="39">
        <v>90.06</v>
      </c>
      <c r="AN8" s="33">
        <v>76.239999999999995</v>
      </c>
      <c r="AO8" s="41">
        <v>49.28</v>
      </c>
      <c r="AP8" s="42"/>
      <c r="AQ8" s="42">
        <v>92.91</v>
      </c>
      <c r="AR8" s="26">
        <v>73.55</v>
      </c>
      <c r="AU8" s="25">
        <v>2</v>
      </c>
      <c r="AV8" s="39">
        <v>13.6</v>
      </c>
      <c r="AW8" s="33">
        <v>19.28</v>
      </c>
      <c r="AX8" s="41">
        <v>8.8000000000000007</v>
      </c>
      <c r="AY8" s="42"/>
      <c r="AZ8" s="42">
        <v>24.59</v>
      </c>
      <c r="BA8" s="26">
        <v>27.02</v>
      </c>
      <c r="BD8" s="25">
        <v>2</v>
      </c>
      <c r="BE8" s="39">
        <v>5.67</v>
      </c>
      <c r="BF8" s="33">
        <v>1.78</v>
      </c>
      <c r="BG8" s="41">
        <v>0.94</v>
      </c>
      <c r="BH8" s="42"/>
      <c r="BI8" s="42">
        <v>5.82</v>
      </c>
      <c r="BJ8" s="26">
        <v>2.57</v>
      </c>
      <c r="BM8" s="25">
        <v>2</v>
      </c>
      <c r="BN8" s="39">
        <v>9.67</v>
      </c>
      <c r="BO8" s="33">
        <v>9.01</v>
      </c>
      <c r="BP8" s="41">
        <v>6.19</v>
      </c>
      <c r="BQ8" s="42"/>
      <c r="BR8" s="42">
        <v>4.78</v>
      </c>
      <c r="BS8" s="26">
        <v>9.16</v>
      </c>
    </row>
    <row r="9" spans="1:71" x14ac:dyDescent="0.3">
      <c r="B9" s="25">
        <v>3</v>
      </c>
      <c r="C9" s="39">
        <v>14</v>
      </c>
      <c r="D9" s="39">
        <v>16</v>
      </c>
      <c r="E9" s="39">
        <v>11</v>
      </c>
      <c r="F9" s="39">
        <v>13</v>
      </c>
      <c r="G9" s="36">
        <v>12</v>
      </c>
      <c r="H9" s="39">
        <v>14</v>
      </c>
      <c r="I9" s="31">
        <f t="shared" si="0"/>
        <v>13.333333333333334</v>
      </c>
      <c r="K9" s="25">
        <v>3</v>
      </c>
      <c r="L9" s="39">
        <v>28</v>
      </c>
      <c r="M9" s="40">
        <v>28</v>
      </c>
      <c r="N9" s="39">
        <v>24</v>
      </c>
      <c r="O9" s="39">
        <v>27</v>
      </c>
      <c r="P9" s="39">
        <v>24</v>
      </c>
      <c r="Q9" s="40">
        <v>25</v>
      </c>
      <c r="R9" s="31">
        <f t="shared" si="1"/>
        <v>26</v>
      </c>
      <c r="T9" s="25">
        <v>3</v>
      </c>
      <c r="U9" s="39">
        <v>32</v>
      </c>
      <c r="V9" s="33">
        <v>26</v>
      </c>
      <c r="W9" s="33">
        <v>27</v>
      </c>
      <c r="X9" s="26">
        <v>26</v>
      </c>
      <c r="Y9" s="26">
        <v>25</v>
      </c>
      <c r="Z9" s="26">
        <v>24</v>
      </c>
      <c r="AC9" s="25">
        <v>3</v>
      </c>
      <c r="AD9" s="39">
        <v>24</v>
      </c>
      <c r="AE9" s="33"/>
      <c r="AF9" s="41">
        <v>11</v>
      </c>
      <c r="AG9" s="42">
        <v>19</v>
      </c>
      <c r="AH9" s="42">
        <v>12</v>
      </c>
      <c r="AI9" s="26">
        <v>16</v>
      </c>
      <c r="AL9" s="25">
        <v>3</v>
      </c>
      <c r="AM9" s="39">
        <v>115.03</v>
      </c>
      <c r="AN9" s="33"/>
      <c r="AO9" s="41">
        <v>55.66</v>
      </c>
      <c r="AP9" s="42">
        <v>101.99</v>
      </c>
      <c r="AQ9" s="42">
        <v>58.35</v>
      </c>
      <c r="AR9" s="26">
        <v>102.02</v>
      </c>
      <c r="AU9" s="25">
        <v>3</v>
      </c>
      <c r="AV9" s="39">
        <v>30.1</v>
      </c>
      <c r="AW9" s="33"/>
      <c r="AX9" s="41">
        <v>21.76</v>
      </c>
      <c r="AY9" s="42">
        <v>29.92</v>
      </c>
      <c r="AZ9" s="42">
        <v>30</v>
      </c>
      <c r="BA9" s="26">
        <v>54.22</v>
      </c>
      <c r="BD9" s="25">
        <v>3</v>
      </c>
      <c r="BE9" s="39">
        <v>13.35</v>
      </c>
      <c r="BF9" s="33"/>
      <c r="BG9" s="41">
        <v>4.7699999999999996</v>
      </c>
      <c r="BH9" s="42">
        <v>5.83</v>
      </c>
      <c r="BI9" s="42">
        <v>5.75</v>
      </c>
      <c r="BJ9" s="26">
        <v>7.28</v>
      </c>
      <c r="BM9" s="25">
        <v>3</v>
      </c>
      <c r="BN9" s="39">
        <v>17.68</v>
      </c>
      <c r="BO9" s="33"/>
      <c r="BP9" s="41">
        <v>10.15</v>
      </c>
      <c r="BQ9" s="42">
        <v>13.13</v>
      </c>
      <c r="BR9" s="42">
        <v>12.28</v>
      </c>
      <c r="BS9" s="26">
        <v>18.45</v>
      </c>
    </row>
    <row r="10" spans="1:71" x14ac:dyDescent="0.3">
      <c r="B10" s="25">
        <v>4</v>
      </c>
      <c r="C10" s="39">
        <v>10</v>
      </c>
      <c r="D10" s="39">
        <v>15.5</v>
      </c>
      <c r="E10" s="39">
        <v>17</v>
      </c>
      <c r="F10" s="39">
        <v>16</v>
      </c>
      <c r="G10" s="36">
        <v>11</v>
      </c>
      <c r="H10" s="39">
        <v>12</v>
      </c>
      <c r="I10" s="31">
        <f t="shared" si="0"/>
        <v>13.583333333333334</v>
      </c>
      <c r="K10" s="25">
        <v>4</v>
      </c>
      <c r="L10" s="39">
        <v>20</v>
      </c>
      <c r="M10" s="36">
        <v>26</v>
      </c>
      <c r="N10" s="39">
        <v>27</v>
      </c>
      <c r="O10" s="39">
        <v>27</v>
      </c>
      <c r="P10" s="39">
        <v>23</v>
      </c>
      <c r="Q10" s="36">
        <v>26</v>
      </c>
      <c r="R10" s="31">
        <f t="shared" si="1"/>
        <v>24.833333333333332</v>
      </c>
      <c r="T10" s="25">
        <v>4</v>
      </c>
      <c r="U10" s="39">
        <v>24</v>
      </c>
      <c r="V10" s="33">
        <v>27</v>
      </c>
      <c r="W10" s="33">
        <v>23</v>
      </c>
      <c r="X10" s="26">
        <v>39</v>
      </c>
      <c r="Y10" s="42">
        <v>26</v>
      </c>
      <c r="Z10" s="42">
        <v>45</v>
      </c>
      <c r="AA10" s="43"/>
      <c r="AC10" s="25">
        <v>4</v>
      </c>
      <c r="AD10" s="39">
        <v>0</v>
      </c>
      <c r="AE10" s="26">
        <v>22</v>
      </c>
      <c r="AF10" s="41"/>
      <c r="AG10" s="42">
        <v>24</v>
      </c>
      <c r="AH10" s="42">
        <v>14</v>
      </c>
      <c r="AI10" s="26">
        <v>15</v>
      </c>
      <c r="AL10" s="25">
        <v>4</v>
      </c>
      <c r="AM10" s="39">
        <v>0</v>
      </c>
      <c r="AN10" s="26">
        <v>118.2</v>
      </c>
      <c r="AP10" s="42">
        <v>116.46</v>
      </c>
      <c r="AQ10" s="42">
        <v>52.57</v>
      </c>
      <c r="AR10" s="26">
        <v>80.760000000000005</v>
      </c>
      <c r="AU10" s="25">
        <v>4</v>
      </c>
      <c r="AV10" s="39">
        <v>74.010000000000005</v>
      </c>
      <c r="AW10" s="26">
        <v>49.79</v>
      </c>
      <c r="AY10" s="42">
        <v>28.57</v>
      </c>
      <c r="AZ10" s="42">
        <v>48.09</v>
      </c>
      <c r="BA10" s="26">
        <v>16.850000000000001</v>
      </c>
      <c r="BD10" s="25">
        <v>4</v>
      </c>
      <c r="BE10" s="39">
        <v>4.71</v>
      </c>
      <c r="BF10" s="26">
        <v>12.04</v>
      </c>
      <c r="BH10" s="42">
        <v>7.21</v>
      </c>
      <c r="BI10" s="42">
        <v>2.62</v>
      </c>
      <c r="BJ10" s="26">
        <v>5.13</v>
      </c>
      <c r="BM10" s="25">
        <v>4</v>
      </c>
      <c r="BN10" s="39">
        <v>10.54</v>
      </c>
      <c r="BO10" s="26">
        <v>19.64</v>
      </c>
      <c r="BQ10" s="42">
        <v>13.85</v>
      </c>
      <c r="BR10" s="42">
        <v>16.2</v>
      </c>
      <c r="BS10" s="26">
        <v>15.52</v>
      </c>
    </row>
    <row r="11" spans="1:71" x14ac:dyDescent="0.3">
      <c r="B11" s="25">
        <v>5</v>
      </c>
      <c r="C11" s="40">
        <v>10</v>
      </c>
      <c r="D11" s="40">
        <v>12</v>
      </c>
      <c r="E11" s="40">
        <v>11</v>
      </c>
      <c r="F11" s="40">
        <v>13</v>
      </c>
      <c r="G11" s="36">
        <v>13</v>
      </c>
      <c r="H11" s="39">
        <v>14</v>
      </c>
      <c r="I11" s="31">
        <f t="shared" si="0"/>
        <v>12.166666666666666</v>
      </c>
      <c r="K11" s="25">
        <v>5</v>
      </c>
      <c r="L11" s="40">
        <v>27</v>
      </c>
      <c r="M11" s="36">
        <v>24</v>
      </c>
      <c r="N11" s="39">
        <v>25</v>
      </c>
      <c r="O11" s="39">
        <v>28</v>
      </c>
      <c r="P11" s="39">
        <v>23</v>
      </c>
      <c r="Q11" s="36">
        <v>31</v>
      </c>
      <c r="R11" s="31">
        <f t="shared" si="1"/>
        <v>26.333333333333332</v>
      </c>
      <c r="T11" s="25">
        <v>5</v>
      </c>
      <c r="U11" s="40">
        <v>29</v>
      </c>
      <c r="V11" s="33">
        <v>21</v>
      </c>
      <c r="W11" s="33">
        <v>38</v>
      </c>
      <c r="X11" s="26">
        <v>20</v>
      </c>
      <c r="Y11" s="26">
        <v>41</v>
      </c>
      <c r="Z11" s="26">
        <v>22</v>
      </c>
      <c r="AC11" s="25">
        <v>5</v>
      </c>
      <c r="AD11" s="40">
        <v>13</v>
      </c>
      <c r="AE11" s="33">
        <v>13</v>
      </c>
      <c r="AG11" s="42">
        <v>19</v>
      </c>
      <c r="AH11" s="42">
        <v>12</v>
      </c>
      <c r="AI11" s="26">
        <v>15</v>
      </c>
      <c r="AL11" s="25">
        <v>5</v>
      </c>
      <c r="AM11" s="40">
        <v>85.72</v>
      </c>
      <c r="AN11" s="33">
        <v>79.239999999999995</v>
      </c>
      <c r="AP11" s="42">
        <v>102.42</v>
      </c>
      <c r="AQ11" s="42">
        <v>85.91</v>
      </c>
      <c r="AR11" s="26">
        <v>107.02</v>
      </c>
      <c r="AU11" s="25">
        <v>5</v>
      </c>
      <c r="AV11" s="40">
        <v>78.209999999999994</v>
      </c>
      <c r="AW11" s="33">
        <v>99.35</v>
      </c>
      <c r="AY11" s="42">
        <v>73.709999999999994</v>
      </c>
      <c r="AZ11" s="42">
        <v>89.16</v>
      </c>
      <c r="BA11" s="26">
        <v>85.83</v>
      </c>
      <c r="BD11" s="25">
        <v>5</v>
      </c>
      <c r="BE11" s="40">
        <v>12.65</v>
      </c>
      <c r="BF11" s="33">
        <v>10.66</v>
      </c>
      <c r="BH11" s="42">
        <v>12.79</v>
      </c>
      <c r="BI11" s="42">
        <v>12.05</v>
      </c>
      <c r="BJ11" s="26">
        <v>8.0399999999999991</v>
      </c>
      <c r="BM11" s="25">
        <v>5</v>
      </c>
      <c r="BN11" s="40">
        <v>27.7</v>
      </c>
      <c r="BO11" s="33">
        <v>27.01</v>
      </c>
      <c r="BQ11" s="42">
        <v>24.01</v>
      </c>
      <c r="BR11" s="42">
        <v>19.350000000000001</v>
      </c>
      <c r="BS11" s="26">
        <v>23.91</v>
      </c>
    </row>
    <row r="12" spans="1:71" x14ac:dyDescent="0.3">
      <c r="A12" s="44" t="s">
        <v>58</v>
      </c>
      <c r="B12" s="29">
        <v>1</v>
      </c>
      <c r="C12" s="40">
        <v>25</v>
      </c>
      <c r="D12" s="40">
        <v>26</v>
      </c>
      <c r="E12" s="40">
        <v>23</v>
      </c>
      <c r="F12" s="40">
        <v>20</v>
      </c>
      <c r="G12" s="36">
        <v>24</v>
      </c>
      <c r="H12" s="40">
        <v>21</v>
      </c>
      <c r="I12" s="31">
        <f t="shared" si="0"/>
        <v>23.166666666666668</v>
      </c>
      <c r="J12" s="44" t="s">
        <v>58</v>
      </c>
      <c r="K12" s="29">
        <v>1</v>
      </c>
      <c r="L12" s="40">
        <v>18</v>
      </c>
      <c r="M12" s="40">
        <v>18</v>
      </c>
      <c r="N12" s="40">
        <v>26</v>
      </c>
      <c r="O12" s="40">
        <v>30</v>
      </c>
      <c r="P12" s="40">
        <v>31</v>
      </c>
      <c r="Q12" s="40">
        <v>30</v>
      </c>
      <c r="R12" s="31">
        <f t="shared" si="1"/>
        <v>25.5</v>
      </c>
      <c r="S12" s="44" t="s">
        <v>58</v>
      </c>
      <c r="T12" s="29">
        <v>1</v>
      </c>
      <c r="U12" s="40">
        <v>13</v>
      </c>
      <c r="V12" s="33">
        <v>21</v>
      </c>
      <c r="W12" s="26">
        <v>20</v>
      </c>
      <c r="X12" s="26">
        <v>24</v>
      </c>
      <c r="Y12" s="26">
        <v>13</v>
      </c>
      <c r="Z12" s="26">
        <v>22</v>
      </c>
      <c r="AB12" s="44" t="s">
        <v>58</v>
      </c>
      <c r="AC12" s="29">
        <v>1</v>
      </c>
      <c r="AD12" s="40">
        <v>6</v>
      </c>
      <c r="AE12" s="33">
        <v>9</v>
      </c>
      <c r="AF12" s="41">
        <v>16</v>
      </c>
      <c r="AG12" s="42">
        <v>12</v>
      </c>
      <c r="AH12" s="42">
        <v>17</v>
      </c>
      <c r="AK12" s="44" t="s">
        <v>58</v>
      </c>
      <c r="AL12" s="29">
        <v>1</v>
      </c>
      <c r="AM12" s="40">
        <v>18.02</v>
      </c>
      <c r="AN12" s="33">
        <v>27.34</v>
      </c>
      <c r="AO12" s="41">
        <v>56.19</v>
      </c>
      <c r="AP12" s="42">
        <v>46.87</v>
      </c>
      <c r="AQ12" s="42">
        <v>54.25</v>
      </c>
      <c r="AT12" s="44" t="s">
        <v>58</v>
      </c>
      <c r="AU12" s="29">
        <v>1</v>
      </c>
      <c r="AV12" s="33">
        <v>17.850000000000001</v>
      </c>
      <c r="AW12" s="33">
        <v>18.21</v>
      </c>
      <c r="AX12" s="41">
        <v>11.63</v>
      </c>
      <c r="AY12" s="42">
        <v>25.94</v>
      </c>
      <c r="AZ12" s="42">
        <v>16.170000000000002</v>
      </c>
      <c r="BC12" s="44" t="s">
        <v>58</v>
      </c>
      <c r="BD12" s="29">
        <v>1</v>
      </c>
      <c r="BE12" s="40">
        <v>0.78</v>
      </c>
      <c r="BF12" s="33">
        <v>1.74</v>
      </c>
      <c r="BG12" s="41">
        <v>2.62</v>
      </c>
      <c r="BH12" s="42">
        <v>1.92</v>
      </c>
      <c r="BI12" s="42">
        <v>2.48</v>
      </c>
      <c r="BL12" s="44" t="s">
        <v>58</v>
      </c>
      <c r="BM12" s="29">
        <v>1</v>
      </c>
      <c r="BN12" s="40">
        <v>0.42</v>
      </c>
      <c r="BO12" s="33">
        <v>1.31</v>
      </c>
      <c r="BP12" s="41">
        <v>2.5</v>
      </c>
      <c r="BQ12" s="42">
        <v>3.42</v>
      </c>
      <c r="BR12" s="42">
        <v>1.52</v>
      </c>
    </row>
    <row r="13" spans="1:71" x14ac:dyDescent="0.3">
      <c r="A13" s="44"/>
      <c r="B13" s="25">
        <v>2</v>
      </c>
      <c r="C13" s="40">
        <v>19</v>
      </c>
      <c r="D13" s="40">
        <v>21</v>
      </c>
      <c r="E13" s="40">
        <v>20</v>
      </c>
      <c r="F13" s="40">
        <v>21</v>
      </c>
      <c r="G13" s="36">
        <v>21</v>
      </c>
      <c r="H13" s="40">
        <v>20</v>
      </c>
      <c r="I13" s="31">
        <f t="shared" si="0"/>
        <v>20.333333333333332</v>
      </c>
      <c r="J13" s="44"/>
      <c r="K13" s="25">
        <v>2</v>
      </c>
      <c r="L13" s="40">
        <v>30</v>
      </c>
      <c r="M13" s="40">
        <v>36</v>
      </c>
      <c r="N13" s="40">
        <v>32</v>
      </c>
      <c r="O13" s="40">
        <v>30</v>
      </c>
      <c r="P13" s="40">
        <v>31</v>
      </c>
      <c r="Q13" s="40">
        <v>38</v>
      </c>
      <c r="R13" s="31">
        <f t="shared" si="1"/>
        <v>32.833333333333336</v>
      </c>
      <c r="S13" s="44"/>
      <c r="T13" s="25">
        <v>2</v>
      </c>
      <c r="U13" s="40">
        <v>21</v>
      </c>
      <c r="V13" s="33">
        <v>21</v>
      </c>
      <c r="W13" s="33">
        <v>50</v>
      </c>
      <c r="X13" s="26">
        <v>31</v>
      </c>
      <c r="Y13" s="26">
        <v>30</v>
      </c>
      <c r="Z13" s="26">
        <v>19</v>
      </c>
      <c r="AB13" s="44"/>
      <c r="AC13" s="25">
        <v>2</v>
      </c>
      <c r="AD13" s="40">
        <v>17</v>
      </c>
      <c r="AE13" s="33">
        <v>24</v>
      </c>
      <c r="AF13" s="41">
        <v>13</v>
      </c>
      <c r="AG13" s="42">
        <v>21</v>
      </c>
      <c r="AH13" s="42">
        <v>17</v>
      </c>
      <c r="AK13" s="44"/>
      <c r="AL13" s="25">
        <v>2</v>
      </c>
      <c r="AM13" s="40">
        <v>48.25</v>
      </c>
      <c r="AN13" s="33">
        <v>101.2</v>
      </c>
      <c r="AO13" s="26">
        <v>42.28</v>
      </c>
      <c r="AP13" s="42">
        <v>65.7</v>
      </c>
      <c r="AQ13" s="42">
        <v>56.17</v>
      </c>
      <c r="AT13" s="44"/>
      <c r="AU13" s="25">
        <v>2</v>
      </c>
      <c r="AV13" s="40">
        <v>15.95</v>
      </c>
      <c r="AW13" s="33">
        <v>48.37</v>
      </c>
      <c r="AX13" s="41">
        <v>64.739999999999995</v>
      </c>
      <c r="AY13" s="42">
        <v>44.45</v>
      </c>
      <c r="AZ13" s="42">
        <v>42.19</v>
      </c>
      <c r="BC13" s="44"/>
      <c r="BD13" s="25">
        <v>2</v>
      </c>
      <c r="BE13" s="40">
        <v>1.3</v>
      </c>
      <c r="BF13" s="33">
        <v>6.31</v>
      </c>
      <c r="BG13" s="41">
        <v>4.82</v>
      </c>
      <c r="BH13" s="42">
        <v>6.62</v>
      </c>
      <c r="BI13" s="26">
        <v>5.22</v>
      </c>
      <c r="BL13" s="44"/>
      <c r="BM13" s="25">
        <v>2</v>
      </c>
      <c r="BN13" s="40">
        <v>11.4</v>
      </c>
      <c r="BO13" s="33">
        <v>12.04</v>
      </c>
      <c r="BP13" s="41">
        <v>6.96</v>
      </c>
      <c r="BQ13" s="42">
        <v>7.02</v>
      </c>
      <c r="BR13" s="26">
        <v>11.59</v>
      </c>
    </row>
    <row r="14" spans="1:71" x14ac:dyDescent="0.3">
      <c r="A14" s="44"/>
      <c r="B14" s="25">
        <v>3</v>
      </c>
      <c r="C14" s="40">
        <v>22</v>
      </c>
      <c r="D14" s="40">
        <v>19</v>
      </c>
      <c r="E14" s="40">
        <v>18</v>
      </c>
      <c r="F14" s="40">
        <v>20</v>
      </c>
      <c r="G14" s="36">
        <v>14</v>
      </c>
      <c r="H14" s="40">
        <v>18</v>
      </c>
      <c r="I14" s="31">
        <f t="shared" si="0"/>
        <v>18.5</v>
      </c>
      <c r="J14" s="44"/>
      <c r="K14" s="25">
        <v>3</v>
      </c>
      <c r="L14" s="40">
        <v>32</v>
      </c>
      <c r="M14" s="40">
        <v>32</v>
      </c>
      <c r="N14" s="40">
        <v>28</v>
      </c>
      <c r="O14" s="40">
        <v>31</v>
      </c>
      <c r="P14" s="40">
        <v>22</v>
      </c>
      <c r="Q14" s="40">
        <v>29</v>
      </c>
      <c r="R14" s="31">
        <f t="shared" si="1"/>
        <v>29</v>
      </c>
      <c r="S14" s="44"/>
      <c r="T14" s="25">
        <v>3</v>
      </c>
      <c r="U14" s="40">
        <v>32</v>
      </c>
      <c r="V14" s="33">
        <v>20</v>
      </c>
      <c r="W14" s="33">
        <v>37</v>
      </c>
      <c r="X14" s="26">
        <v>24</v>
      </c>
      <c r="Y14" s="42">
        <v>15</v>
      </c>
      <c r="Z14" s="42">
        <v>19</v>
      </c>
      <c r="AA14" s="43"/>
      <c r="AB14" s="44"/>
      <c r="AC14" s="25">
        <v>3</v>
      </c>
      <c r="AD14" s="40">
        <v>15</v>
      </c>
      <c r="AF14" s="41">
        <v>11</v>
      </c>
      <c r="AG14" s="42">
        <v>15</v>
      </c>
      <c r="AH14" s="42">
        <v>14</v>
      </c>
      <c r="AI14" s="26">
        <v>15</v>
      </c>
      <c r="AK14" s="44"/>
      <c r="AL14" s="25">
        <v>3</v>
      </c>
      <c r="AM14" s="40">
        <v>47.8</v>
      </c>
      <c r="AO14" s="26">
        <v>33.869999999999997</v>
      </c>
      <c r="AP14" s="42">
        <v>61.05</v>
      </c>
      <c r="AQ14" s="42">
        <v>17.53</v>
      </c>
      <c r="AR14" s="26">
        <v>56.09</v>
      </c>
      <c r="AT14" s="44"/>
      <c r="AU14" s="25">
        <v>3</v>
      </c>
      <c r="AV14" s="40">
        <v>81.8</v>
      </c>
      <c r="AX14" s="41">
        <v>81.34</v>
      </c>
      <c r="AY14" s="42">
        <v>92.77</v>
      </c>
      <c r="AZ14" s="42">
        <v>20.55</v>
      </c>
      <c r="BA14" s="26">
        <v>101.95</v>
      </c>
      <c r="BC14" s="44"/>
      <c r="BD14" s="25">
        <v>3</v>
      </c>
      <c r="BE14" s="40">
        <v>9</v>
      </c>
      <c r="BG14" s="41">
        <v>7.79</v>
      </c>
      <c r="BH14" s="42">
        <v>9.8000000000000007</v>
      </c>
      <c r="BI14" s="42">
        <v>1.72</v>
      </c>
      <c r="BJ14" s="26">
        <v>8.48</v>
      </c>
      <c r="BL14" s="44"/>
      <c r="BM14" s="25">
        <v>3</v>
      </c>
      <c r="BN14" s="40">
        <v>14.88</v>
      </c>
      <c r="BP14" s="41">
        <v>14.44</v>
      </c>
      <c r="BQ14" s="42">
        <v>24.67</v>
      </c>
      <c r="BR14" s="42">
        <v>3.28</v>
      </c>
      <c r="BS14" s="26">
        <v>28.98</v>
      </c>
    </row>
    <row r="15" spans="1:71" x14ac:dyDescent="0.3">
      <c r="B15" s="25">
        <v>4</v>
      </c>
      <c r="C15" s="40">
        <v>24</v>
      </c>
      <c r="D15" s="40">
        <v>22</v>
      </c>
      <c r="E15" s="40">
        <v>26</v>
      </c>
      <c r="F15" s="40">
        <v>25</v>
      </c>
      <c r="G15" s="36">
        <v>27</v>
      </c>
      <c r="H15" s="40">
        <v>28</v>
      </c>
      <c r="I15" s="31">
        <f t="shared" si="0"/>
        <v>25.333333333333332</v>
      </c>
      <c r="K15" s="25">
        <v>4</v>
      </c>
      <c r="L15" s="40">
        <v>29</v>
      </c>
      <c r="M15" s="33">
        <v>36</v>
      </c>
      <c r="N15" s="33">
        <v>25</v>
      </c>
      <c r="O15" s="26">
        <v>32</v>
      </c>
      <c r="P15" s="26">
        <v>37</v>
      </c>
      <c r="Q15" s="26">
        <v>30</v>
      </c>
      <c r="R15" s="31">
        <f>AVERAGE(U15:Z15)</f>
        <v>19</v>
      </c>
      <c r="T15" s="25">
        <v>4</v>
      </c>
      <c r="U15" s="40">
        <v>20</v>
      </c>
      <c r="V15" s="40">
        <v>20</v>
      </c>
      <c r="W15" s="40">
        <v>18</v>
      </c>
      <c r="X15" s="40">
        <v>19</v>
      </c>
      <c r="Y15" s="40">
        <v>19</v>
      </c>
      <c r="Z15" s="40">
        <v>18</v>
      </c>
      <c r="AC15" s="25">
        <v>4</v>
      </c>
      <c r="AD15" s="40">
        <v>14</v>
      </c>
      <c r="AF15" s="41">
        <v>19</v>
      </c>
      <c r="AG15" s="42">
        <v>21</v>
      </c>
      <c r="AH15" s="42">
        <v>21</v>
      </c>
      <c r="AI15" s="26">
        <v>25</v>
      </c>
      <c r="AL15" s="25">
        <v>4</v>
      </c>
      <c r="AM15" s="40">
        <v>41.91</v>
      </c>
      <c r="AO15" s="26">
        <v>49.16</v>
      </c>
      <c r="AP15" s="42">
        <v>79.52</v>
      </c>
      <c r="AQ15" s="42">
        <v>80.87</v>
      </c>
      <c r="AR15" s="26">
        <v>78.209999999999994</v>
      </c>
      <c r="AU15" s="25">
        <v>4</v>
      </c>
      <c r="AV15" s="40">
        <v>77.290000000000006</v>
      </c>
      <c r="AX15" s="41">
        <v>37.44</v>
      </c>
      <c r="AY15" s="42">
        <v>76.209999999999994</v>
      </c>
      <c r="AZ15" s="42">
        <v>105.45</v>
      </c>
      <c r="BA15" s="26">
        <v>35.200000000000003</v>
      </c>
      <c r="BD15" s="25">
        <v>4</v>
      </c>
      <c r="BE15" s="40">
        <v>9.6</v>
      </c>
      <c r="BG15" s="41">
        <v>4.53</v>
      </c>
      <c r="BH15" s="42">
        <v>8.94</v>
      </c>
      <c r="BI15" s="42">
        <v>0.92</v>
      </c>
      <c r="BJ15" s="26">
        <v>8.11</v>
      </c>
      <c r="BM15" s="25">
        <v>4</v>
      </c>
      <c r="BN15" s="40">
        <v>23.07</v>
      </c>
      <c r="BP15" s="41">
        <v>7.91</v>
      </c>
      <c r="BQ15" s="42">
        <v>15.72</v>
      </c>
      <c r="BR15" s="42">
        <v>20.5</v>
      </c>
      <c r="BS15" s="26">
        <v>18.739999999999998</v>
      </c>
    </row>
    <row r="16" spans="1:71" x14ac:dyDescent="0.3">
      <c r="B16" s="25">
        <v>5</v>
      </c>
      <c r="C16" s="40">
        <v>21</v>
      </c>
      <c r="D16" s="40">
        <v>14</v>
      </c>
      <c r="E16" s="40">
        <v>13</v>
      </c>
      <c r="F16" s="40">
        <v>16</v>
      </c>
      <c r="G16" s="36">
        <v>11</v>
      </c>
      <c r="H16" s="40">
        <v>20</v>
      </c>
      <c r="I16" s="31">
        <f t="shared" si="0"/>
        <v>15.833333333333334</v>
      </c>
      <c r="K16" s="25">
        <v>5</v>
      </c>
      <c r="L16" s="36">
        <v>26</v>
      </c>
      <c r="M16" s="40">
        <v>30</v>
      </c>
      <c r="N16" s="40">
        <v>21</v>
      </c>
      <c r="O16" s="40">
        <v>31</v>
      </c>
      <c r="P16" s="40">
        <v>26</v>
      </c>
      <c r="Q16" s="40">
        <v>23</v>
      </c>
      <c r="R16" s="31">
        <f t="shared" si="1"/>
        <v>26.166666666666668</v>
      </c>
      <c r="T16" s="25">
        <v>5</v>
      </c>
      <c r="U16" s="36">
        <v>21</v>
      </c>
      <c r="V16" s="33">
        <v>22</v>
      </c>
      <c r="W16" s="33">
        <v>23</v>
      </c>
      <c r="X16" s="26">
        <v>17</v>
      </c>
      <c r="Y16" s="26">
        <v>22</v>
      </c>
      <c r="Z16" s="26">
        <v>26</v>
      </c>
      <c r="AC16" s="25">
        <v>5</v>
      </c>
      <c r="AD16" s="36">
        <v>18</v>
      </c>
      <c r="AE16" s="33">
        <v>18</v>
      </c>
      <c r="AF16" s="41">
        <v>20</v>
      </c>
      <c r="AG16" s="42">
        <v>30</v>
      </c>
      <c r="AH16" s="42">
        <v>0</v>
      </c>
      <c r="AL16" s="25">
        <v>5</v>
      </c>
      <c r="AM16" s="36">
        <v>69.17</v>
      </c>
      <c r="AN16" s="33">
        <v>34.479999999999997</v>
      </c>
      <c r="AO16" s="26">
        <v>30.81</v>
      </c>
      <c r="AP16" s="42">
        <v>94.98</v>
      </c>
      <c r="AQ16" s="42">
        <v>0</v>
      </c>
      <c r="AU16" s="25">
        <v>5</v>
      </c>
      <c r="AV16" s="36">
        <v>72.09</v>
      </c>
      <c r="AW16" s="33">
        <v>39.81</v>
      </c>
      <c r="AX16" s="41">
        <v>26.21</v>
      </c>
      <c r="AY16" s="42">
        <v>25.36</v>
      </c>
      <c r="AZ16" s="42">
        <v>74.430000000000007</v>
      </c>
      <c r="BD16" s="25">
        <v>5</v>
      </c>
      <c r="BE16" s="36">
        <v>9.43</v>
      </c>
      <c r="BF16" s="33">
        <v>5.26</v>
      </c>
      <c r="BG16" s="41">
        <v>2.5499999999999998</v>
      </c>
      <c r="BH16" s="42">
        <v>5.57</v>
      </c>
      <c r="BI16" s="42">
        <v>0</v>
      </c>
      <c r="BM16" s="25">
        <v>5</v>
      </c>
      <c r="BN16" s="36">
        <v>23.09</v>
      </c>
      <c r="BO16" s="33">
        <v>14.09</v>
      </c>
      <c r="BP16" s="41">
        <v>5.16</v>
      </c>
      <c r="BQ16" s="42">
        <v>22.86</v>
      </c>
      <c r="BR16" s="42">
        <v>17.809999999999999</v>
      </c>
    </row>
    <row r="17" spans="1:71" x14ac:dyDescent="0.3">
      <c r="A17" s="25" t="s">
        <v>63</v>
      </c>
      <c r="B17" s="29">
        <v>1</v>
      </c>
      <c r="C17" s="40">
        <v>19</v>
      </c>
      <c r="D17" s="40">
        <v>20</v>
      </c>
      <c r="E17" s="40">
        <v>24</v>
      </c>
      <c r="F17" s="40">
        <v>21</v>
      </c>
      <c r="G17" s="36">
        <v>24</v>
      </c>
      <c r="H17" s="40">
        <v>23</v>
      </c>
      <c r="I17" s="31">
        <f t="shared" si="0"/>
        <v>21.833333333333332</v>
      </c>
      <c r="J17" s="25" t="s">
        <v>63</v>
      </c>
      <c r="K17" s="29">
        <v>1</v>
      </c>
      <c r="L17" s="40">
        <v>9</v>
      </c>
      <c r="M17" s="40">
        <v>21</v>
      </c>
      <c r="N17" s="40">
        <v>29</v>
      </c>
      <c r="O17" s="40">
        <v>7</v>
      </c>
      <c r="P17" s="40">
        <v>27</v>
      </c>
      <c r="Q17" s="40">
        <v>30</v>
      </c>
      <c r="R17" s="31">
        <f t="shared" si="1"/>
        <v>20.5</v>
      </c>
      <c r="S17" s="25" t="s">
        <v>63</v>
      </c>
      <c r="T17" s="29">
        <v>1</v>
      </c>
      <c r="U17" s="40">
        <v>4</v>
      </c>
      <c r="V17" s="33">
        <v>7</v>
      </c>
      <c r="W17" s="33">
        <v>21</v>
      </c>
      <c r="X17" s="26">
        <v>1</v>
      </c>
      <c r="Y17" s="26">
        <v>29</v>
      </c>
      <c r="Z17" s="26">
        <v>11</v>
      </c>
      <c r="AB17" s="25" t="s">
        <v>63</v>
      </c>
      <c r="AC17" s="29">
        <v>1</v>
      </c>
      <c r="AD17" s="40">
        <v>10</v>
      </c>
      <c r="AE17" s="33">
        <v>13</v>
      </c>
      <c r="AG17" s="42">
        <v>11</v>
      </c>
      <c r="AH17" s="42">
        <v>14</v>
      </c>
      <c r="AI17" s="26">
        <v>11</v>
      </c>
      <c r="AK17" s="25" t="s">
        <v>63</v>
      </c>
      <c r="AL17" s="29">
        <v>1</v>
      </c>
      <c r="AM17" s="40">
        <v>16.47</v>
      </c>
      <c r="AN17" s="33">
        <v>42.66</v>
      </c>
      <c r="AP17" s="42">
        <v>28.41</v>
      </c>
      <c r="AQ17" s="42">
        <v>67.459999999999994</v>
      </c>
      <c r="AR17" s="26">
        <v>48.47</v>
      </c>
      <c r="AT17" s="25" t="s">
        <v>63</v>
      </c>
      <c r="AU17" s="29">
        <v>1</v>
      </c>
      <c r="AV17" s="40">
        <v>4.16</v>
      </c>
      <c r="AW17" s="33">
        <v>5.81</v>
      </c>
      <c r="AY17" s="42">
        <v>6.95</v>
      </c>
      <c r="AZ17" s="42">
        <v>14.04</v>
      </c>
      <c r="BA17" s="26">
        <v>15.14</v>
      </c>
      <c r="BC17" s="25" t="s">
        <v>63</v>
      </c>
      <c r="BD17" s="29">
        <v>1</v>
      </c>
      <c r="BE17" s="40">
        <v>2.67</v>
      </c>
      <c r="BF17" s="33">
        <v>2.5299999999999998</v>
      </c>
      <c r="BH17" s="41">
        <v>3.8</v>
      </c>
      <c r="BI17" s="42">
        <v>4.8499999999999996</v>
      </c>
      <c r="BJ17" s="26">
        <v>3.86</v>
      </c>
      <c r="BL17" s="25" t="s">
        <v>63</v>
      </c>
      <c r="BM17" s="29">
        <v>1</v>
      </c>
      <c r="BN17" s="40">
        <v>0</v>
      </c>
      <c r="BO17" s="33">
        <v>0.39</v>
      </c>
      <c r="BQ17" s="41">
        <v>0</v>
      </c>
      <c r="BR17" s="42">
        <v>4.63</v>
      </c>
      <c r="BS17" s="26">
        <v>1.25</v>
      </c>
    </row>
    <row r="18" spans="1:71" x14ac:dyDescent="0.3">
      <c r="B18" s="25">
        <v>2</v>
      </c>
      <c r="C18" s="40">
        <v>17</v>
      </c>
      <c r="D18" s="40">
        <v>22</v>
      </c>
      <c r="E18" s="40">
        <v>24</v>
      </c>
      <c r="F18" s="40">
        <v>25</v>
      </c>
      <c r="G18" s="36">
        <v>20</v>
      </c>
      <c r="H18" s="40">
        <v>16</v>
      </c>
      <c r="I18" s="31">
        <f t="shared" si="0"/>
        <v>20.666666666666668</v>
      </c>
      <c r="K18" s="25">
        <v>2</v>
      </c>
      <c r="L18" s="40">
        <v>36</v>
      </c>
      <c r="M18" s="40">
        <v>39</v>
      </c>
      <c r="N18" s="40">
        <v>40</v>
      </c>
      <c r="O18" s="40">
        <v>35</v>
      </c>
      <c r="P18" s="40">
        <v>40</v>
      </c>
      <c r="Q18" s="40">
        <v>37</v>
      </c>
      <c r="R18" s="31">
        <f t="shared" si="1"/>
        <v>37.833333333333336</v>
      </c>
      <c r="T18" s="25">
        <v>2</v>
      </c>
      <c r="U18" s="40">
        <v>23</v>
      </c>
      <c r="V18" s="33">
        <v>27</v>
      </c>
      <c r="W18" s="33">
        <v>21</v>
      </c>
      <c r="X18" s="26">
        <v>40</v>
      </c>
      <c r="Y18" s="42">
        <v>21</v>
      </c>
      <c r="Z18" s="42">
        <v>23</v>
      </c>
      <c r="AA18" s="43"/>
      <c r="AC18" s="25">
        <v>2</v>
      </c>
      <c r="AD18" s="40">
        <v>21</v>
      </c>
      <c r="AF18" s="41">
        <v>17</v>
      </c>
      <c r="AG18" s="42">
        <v>18</v>
      </c>
      <c r="AH18" s="42">
        <v>21</v>
      </c>
      <c r="AI18" s="26">
        <v>15</v>
      </c>
      <c r="AL18" s="25">
        <v>2</v>
      </c>
      <c r="AM18" s="40">
        <v>128.61000000000001</v>
      </c>
      <c r="AO18" s="26">
        <v>102.79</v>
      </c>
      <c r="AP18" s="42">
        <v>92.22</v>
      </c>
      <c r="AQ18" s="42">
        <v>124.87</v>
      </c>
      <c r="AR18" s="26">
        <v>46.76</v>
      </c>
      <c r="AU18" s="25">
        <v>2</v>
      </c>
      <c r="AV18" s="40">
        <v>20.02</v>
      </c>
      <c r="AX18" s="41">
        <v>24.8</v>
      </c>
      <c r="AY18" s="42">
        <v>17.5</v>
      </c>
      <c r="AZ18" s="42">
        <v>18.739999999999998</v>
      </c>
      <c r="BA18" s="26">
        <v>12.38</v>
      </c>
      <c r="BD18" s="25">
        <v>2</v>
      </c>
      <c r="BE18" s="40">
        <v>8.69</v>
      </c>
      <c r="BG18" s="41">
        <v>7.97</v>
      </c>
      <c r="BH18" s="42">
        <v>7.49</v>
      </c>
      <c r="BI18" s="42">
        <v>10.210000000000001</v>
      </c>
      <c r="BJ18" s="26">
        <v>4.5599999999999996</v>
      </c>
      <c r="BM18" s="25">
        <v>2</v>
      </c>
      <c r="BN18" s="40">
        <v>17.57</v>
      </c>
      <c r="BP18" s="41">
        <v>9.0500000000000007</v>
      </c>
      <c r="BQ18" s="42">
        <v>8.4700000000000006</v>
      </c>
      <c r="BR18" s="42">
        <v>14.98</v>
      </c>
      <c r="BS18" s="26">
        <v>9.86</v>
      </c>
    </row>
    <row r="19" spans="1:71" x14ac:dyDescent="0.3">
      <c r="B19" s="25">
        <v>3</v>
      </c>
      <c r="C19" s="40">
        <v>11</v>
      </c>
      <c r="D19" s="40">
        <v>13</v>
      </c>
      <c r="E19" s="40">
        <v>13</v>
      </c>
      <c r="F19" s="40">
        <v>14</v>
      </c>
      <c r="G19" s="36">
        <v>12</v>
      </c>
      <c r="H19" s="40">
        <v>6</v>
      </c>
      <c r="I19" s="31">
        <f t="shared" si="0"/>
        <v>11.5</v>
      </c>
      <c r="K19" s="25">
        <v>3</v>
      </c>
      <c r="L19" s="40">
        <v>24</v>
      </c>
      <c r="M19" s="40">
        <v>33</v>
      </c>
      <c r="N19" s="40">
        <v>35</v>
      </c>
      <c r="O19" s="40">
        <v>35</v>
      </c>
      <c r="P19" s="40">
        <v>26</v>
      </c>
      <c r="Q19" s="40">
        <v>22</v>
      </c>
      <c r="R19" s="31">
        <f t="shared" si="1"/>
        <v>29.166666666666668</v>
      </c>
      <c r="T19" s="25">
        <v>3</v>
      </c>
      <c r="U19" s="40">
        <v>38</v>
      </c>
      <c r="V19" s="33">
        <v>26</v>
      </c>
      <c r="W19" s="33">
        <v>27</v>
      </c>
      <c r="X19" s="26">
        <v>22</v>
      </c>
      <c r="Y19" s="26">
        <v>43</v>
      </c>
      <c r="Z19" s="26">
        <v>19</v>
      </c>
      <c r="AC19" s="25">
        <v>3</v>
      </c>
      <c r="AD19" s="40">
        <v>17</v>
      </c>
      <c r="AF19" s="41">
        <v>19</v>
      </c>
      <c r="AG19" s="42">
        <v>21</v>
      </c>
      <c r="AH19" s="42">
        <v>7</v>
      </c>
      <c r="AI19" s="26">
        <v>0</v>
      </c>
      <c r="AL19" s="25">
        <v>3</v>
      </c>
      <c r="AM19" s="40">
        <v>54.38</v>
      </c>
      <c r="AO19" s="26">
        <v>90.38</v>
      </c>
      <c r="AP19" s="42">
        <v>111.91</v>
      </c>
      <c r="AQ19" s="42">
        <v>36.68</v>
      </c>
      <c r="AR19" s="26">
        <v>0</v>
      </c>
      <c r="AU19" s="25">
        <v>3</v>
      </c>
      <c r="AV19" s="40">
        <v>19.38</v>
      </c>
      <c r="AX19" s="41">
        <v>26.46</v>
      </c>
      <c r="AY19" s="42">
        <v>25.29</v>
      </c>
      <c r="AZ19" s="42">
        <v>21.34</v>
      </c>
      <c r="BA19" s="26">
        <v>95.75</v>
      </c>
      <c r="BD19" s="25">
        <v>3</v>
      </c>
      <c r="BE19" s="40">
        <v>9.65</v>
      </c>
      <c r="BG19" s="41">
        <v>7.75</v>
      </c>
      <c r="BH19" s="42">
        <v>7.39</v>
      </c>
      <c r="BI19" s="42">
        <v>3.87</v>
      </c>
      <c r="BJ19" s="26">
        <v>0</v>
      </c>
      <c r="BM19" s="25">
        <v>3</v>
      </c>
      <c r="BN19" s="40">
        <v>13.23</v>
      </c>
      <c r="BP19" s="41">
        <v>16.91</v>
      </c>
      <c r="BQ19" s="42">
        <v>19.04</v>
      </c>
      <c r="BR19" s="42">
        <v>9.82</v>
      </c>
      <c r="BS19" s="26">
        <v>15.3</v>
      </c>
    </row>
    <row r="20" spans="1:71" x14ac:dyDescent="0.3">
      <c r="B20" s="25">
        <v>4</v>
      </c>
      <c r="C20" s="40">
        <v>15</v>
      </c>
      <c r="D20" s="40">
        <v>12</v>
      </c>
      <c r="E20" s="40">
        <v>13</v>
      </c>
      <c r="F20" s="40">
        <v>14</v>
      </c>
      <c r="G20" s="36">
        <v>16</v>
      </c>
      <c r="H20" s="40">
        <v>14</v>
      </c>
      <c r="I20" s="31">
        <f t="shared" si="0"/>
        <v>14</v>
      </c>
      <c r="K20" s="25">
        <v>4</v>
      </c>
      <c r="L20" s="40">
        <v>33</v>
      </c>
      <c r="M20" s="40">
        <v>22</v>
      </c>
      <c r="N20" s="40">
        <v>31</v>
      </c>
      <c r="O20" s="40">
        <v>34</v>
      </c>
      <c r="P20" s="40">
        <v>34</v>
      </c>
      <c r="Q20" s="40">
        <v>28</v>
      </c>
      <c r="R20" s="31">
        <f t="shared" si="1"/>
        <v>30.333333333333332</v>
      </c>
      <c r="T20" s="25">
        <v>4</v>
      </c>
      <c r="U20" s="40">
        <v>33</v>
      </c>
      <c r="V20" s="33">
        <v>27</v>
      </c>
      <c r="W20" s="33">
        <v>20</v>
      </c>
      <c r="X20" s="26">
        <v>24</v>
      </c>
      <c r="Y20" s="26">
        <v>18</v>
      </c>
      <c r="Z20" s="26">
        <v>23</v>
      </c>
      <c r="AC20" s="25">
        <v>4</v>
      </c>
      <c r="AD20" s="40"/>
      <c r="AE20" s="26">
        <v>11</v>
      </c>
      <c r="AF20" s="41">
        <v>24</v>
      </c>
      <c r="AG20" s="42">
        <v>21</v>
      </c>
      <c r="AH20" s="42">
        <v>27</v>
      </c>
      <c r="AI20" s="26">
        <v>27</v>
      </c>
      <c r="AL20" s="25">
        <v>4</v>
      </c>
      <c r="AM20" s="40"/>
      <c r="AN20" s="26">
        <v>40.67</v>
      </c>
      <c r="AO20" s="26">
        <v>107.43</v>
      </c>
      <c r="AP20" s="42">
        <v>80.040000000000006</v>
      </c>
      <c r="AQ20" s="42">
        <v>143.06</v>
      </c>
      <c r="AR20" s="26">
        <v>123.03</v>
      </c>
      <c r="AU20" s="25">
        <v>4</v>
      </c>
      <c r="AV20" s="40"/>
      <c r="AW20" s="26">
        <v>26.58</v>
      </c>
      <c r="AX20" s="41">
        <v>31.41</v>
      </c>
      <c r="AY20" s="42">
        <v>22.84</v>
      </c>
      <c r="AZ20" s="42">
        <v>31.74</v>
      </c>
      <c r="BA20" s="26">
        <v>16.05</v>
      </c>
      <c r="BD20" s="25">
        <v>4</v>
      </c>
      <c r="BE20" s="40"/>
      <c r="BF20" s="26">
        <v>5.0199999999999996</v>
      </c>
      <c r="BG20" s="41">
        <v>12.36</v>
      </c>
      <c r="BH20" s="42">
        <v>6.56</v>
      </c>
      <c r="BI20" s="42">
        <v>10.31</v>
      </c>
      <c r="BJ20" s="26">
        <v>8.6999999999999993</v>
      </c>
      <c r="BM20" s="25">
        <v>4</v>
      </c>
      <c r="BN20" s="40"/>
      <c r="BO20" s="26">
        <v>6.22</v>
      </c>
      <c r="BP20" s="41">
        <v>24.79</v>
      </c>
      <c r="BQ20" s="42">
        <v>13.76</v>
      </c>
      <c r="BR20" s="42">
        <v>22.34</v>
      </c>
      <c r="BS20" s="26">
        <v>15.11</v>
      </c>
    </row>
    <row r="21" spans="1:71" x14ac:dyDescent="0.3">
      <c r="B21" s="25">
        <v>5</v>
      </c>
      <c r="C21" s="40">
        <v>12</v>
      </c>
      <c r="D21" s="40">
        <v>6</v>
      </c>
      <c r="E21" s="40">
        <v>9</v>
      </c>
      <c r="F21" s="40">
        <v>12</v>
      </c>
      <c r="G21" s="36">
        <v>4</v>
      </c>
      <c r="H21" s="40">
        <v>9</v>
      </c>
      <c r="I21" s="31">
        <f t="shared" si="0"/>
        <v>8.6666666666666661</v>
      </c>
      <c r="K21" s="25">
        <v>5</v>
      </c>
      <c r="L21" s="40">
        <v>30</v>
      </c>
      <c r="M21" s="40">
        <v>23</v>
      </c>
      <c r="N21" s="40">
        <v>25</v>
      </c>
      <c r="O21" s="40">
        <v>28</v>
      </c>
      <c r="P21" s="40">
        <v>24</v>
      </c>
      <c r="Q21" s="40">
        <v>29</v>
      </c>
      <c r="R21" s="31">
        <f t="shared" si="1"/>
        <v>26.5</v>
      </c>
      <c r="T21" s="25">
        <v>5</v>
      </c>
      <c r="U21" s="40">
        <v>31</v>
      </c>
      <c r="V21" s="33">
        <v>24</v>
      </c>
      <c r="W21" s="33">
        <v>31</v>
      </c>
      <c r="X21" s="26">
        <v>25</v>
      </c>
      <c r="Y21" s="26">
        <v>24</v>
      </c>
      <c r="Z21" s="26">
        <v>23</v>
      </c>
      <c r="AC21" s="25">
        <v>5</v>
      </c>
      <c r="AD21" s="40"/>
      <c r="AE21" s="26">
        <v>0</v>
      </c>
      <c r="AF21" s="41">
        <v>8</v>
      </c>
      <c r="AG21" s="42">
        <v>16</v>
      </c>
      <c r="AH21" s="42">
        <v>0</v>
      </c>
      <c r="AI21" s="26">
        <v>14</v>
      </c>
      <c r="AL21" s="25">
        <v>5</v>
      </c>
      <c r="AM21" s="40"/>
      <c r="AN21" s="26">
        <v>0</v>
      </c>
      <c r="AO21" s="26">
        <v>24.14</v>
      </c>
      <c r="AP21" s="42">
        <v>79.459999999999994</v>
      </c>
      <c r="AQ21" s="42">
        <v>0</v>
      </c>
      <c r="AR21" s="26">
        <v>56.73</v>
      </c>
      <c r="AU21" s="25">
        <v>5</v>
      </c>
      <c r="AV21" s="40"/>
      <c r="AW21" s="26">
        <v>82.19</v>
      </c>
      <c r="AX21" s="41">
        <v>59.8</v>
      </c>
      <c r="AY21" s="42">
        <v>50.46</v>
      </c>
      <c r="AZ21" s="42">
        <v>64.819999999999993</v>
      </c>
      <c r="BA21" s="26">
        <v>39.67</v>
      </c>
      <c r="BD21" s="25">
        <v>5</v>
      </c>
      <c r="BE21" s="40"/>
      <c r="BF21" s="26">
        <v>0</v>
      </c>
      <c r="BG21" s="41">
        <v>8.39</v>
      </c>
      <c r="BH21" s="42">
        <v>12.01</v>
      </c>
      <c r="BI21" s="42">
        <v>0</v>
      </c>
      <c r="BJ21" s="26">
        <v>7.51</v>
      </c>
      <c r="BM21" s="25">
        <v>5</v>
      </c>
      <c r="BN21" s="40"/>
      <c r="BO21" s="26">
        <v>13.23</v>
      </c>
      <c r="BP21" s="41">
        <v>21.24</v>
      </c>
      <c r="BQ21" s="42">
        <v>20.76</v>
      </c>
      <c r="BR21" s="42">
        <v>13.88</v>
      </c>
      <c r="BS21" s="26">
        <v>22.93</v>
      </c>
    </row>
    <row r="22" spans="1:71" x14ac:dyDescent="0.3">
      <c r="A22" s="25" t="s">
        <v>64</v>
      </c>
      <c r="B22" s="29">
        <v>1</v>
      </c>
      <c r="C22" s="40">
        <v>19</v>
      </c>
      <c r="D22" s="40">
        <v>19</v>
      </c>
      <c r="E22" s="40">
        <v>22</v>
      </c>
      <c r="F22" s="40">
        <v>21</v>
      </c>
      <c r="G22" s="36">
        <v>18</v>
      </c>
      <c r="H22" s="36">
        <v>21</v>
      </c>
      <c r="I22" s="31">
        <f>AVERAGE(C22:H22)</f>
        <v>20</v>
      </c>
      <c r="J22" s="25" t="s">
        <v>64</v>
      </c>
      <c r="K22" s="29">
        <v>1</v>
      </c>
      <c r="L22" s="40">
        <v>17</v>
      </c>
      <c r="M22" s="36">
        <v>17</v>
      </c>
      <c r="N22" s="36">
        <v>18</v>
      </c>
      <c r="O22" s="36">
        <v>12</v>
      </c>
      <c r="P22" s="36">
        <v>20</v>
      </c>
      <c r="Q22" s="36">
        <v>15</v>
      </c>
      <c r="R22" s="31">
        <f t="shared" si="1"/>
        <v>16.5</v>
      </c>
      <c r="S22" s="25" t="s">
        <v>64</v>
      </c>
      <c r="T22" s="29">
        <v>1</v>
      </c>
      <c r="U22" s="40">
        <v>1</v>
      </c>
      <c r="V22" s="33">
        <v>1</v>
      </c>
      <c r="W22" s="33">
        <v>11</v>
      </c>
      <c r="X22" s="26">
        <v>1</v>
      </c>
      <c r="Y22" s="42">
        <v>10</v>
      </c>
      <c r="Z22" s="42">
        <v>1</v>
      </c>
      <c r="AA22" s="43"/>
      <c r="AB22" s="25" t="s">
        <v>64</v>
      </c>
      <c r="AC22" s="29">
        <v>1</v>
      </c>
      <c r="AD22" s="40">
        <v>11</v>
      </c>
      <c r="AE22" s="26">
        <v>15</v>
      </c>
      <c r="AG22" s="42">
        <v>10</v>
      </c>
      <c r="AH22" s="42">
        <v>18</v>
      </c>
      <c r="AI22" s="26">
        <v>13</v>
      </c>
      <c r="AK22" s="25" t="s">
        <v>64</v>
      </c>
      <c r="AL22" s="29">
        <v>1</v>
      </c>
      <c r="AM22" s="40">
        <v>17.670000000000002</v>
      </c>
      <c r="AN22" s="26">
        <v>15.61</v>
      </c>
      <c r="AP22" s="42">
        <v>12.97</v>
      </c>
      <c r="AQ22" s="42">
        <v>38.47</v>
      </c>
      <c r="AR22" s="26">
        <v>14.72</v>
      </c>
      <c r="AT22" s="25" t="s">
        <v>64</v>
      </c>
      <c r="AU22" s="29">
        <v>1</v>
      </c>
      <c r="AV22" s="40">
        <v>1.72</v>
      </c>
      <c r="AW22" s="26">
        <v>0.3</v>
      </c>
      <c r="AY22" s="42">
        <v>1.51</v>
      </c>
      <c r="AZ22" s="42">
        <v>2.19</v>
      </c>
      <c r="BA22" s="26">
        <v>1.24</v>
      </c>
      <c r="BC22" s="25" t="s">
        <v>64</v>
      </c>
      <c r="BD22" s="29">
        <v>1</v>
      </c>
      <c r="BE22" s="40">
        <v>3.64</v>
      </c>
      <c r="BF22" s="26">
        <v>1.67</v>
      </c>
      <c r="BH22" s="42">
        <v>1.58</v>
      </c>
      <c r="BI22" s="42">
        <v>5.04</v>
      </c>
      <c r="BJ22" s="26">
        <v>3.25</v>
      </c>
      <c r="BL22" s="25" t="s">
        <v>64</v>
      </c>
      <c r="BM22" s="29">
        <v>1</v>
      </c>
      <c r="BN22" s="40">
        <v>0</v>
      </c>
      <c r="BO22" s="26">
        <v>0</v>
      </c>
      <c r="BQ22" s="42">
        <v>0</v>
      </c>
      <c r="BR22" s="42">
        <v>0</v>
      </c>
      <c r="BS22" s="26">
        <v>0</v>
      </c>
    </row>
    <row r="23" spans="1:71" x14ac:dyDescent="0.3">
      <c r="B23" s="25">
        <v>2</v>
      </c>
      <c r="C23" s="40">
        <v>12</v>
      </c>
      <c r="D23" s="40">
        <v>17</v>
      </c>
      <c r="E23" s="40">
        <v>18</v>
      </c>
      <c r="F23" s="40">
        <v>17</v>
      </c>
      <c r="G23" s="36">
        <v>17</v>
      </c>
      <c r="H23" s="40">
        <v>14</v>
      </c>
      <c r="I23" s="31">
        <f t="shared" si="0"/>
        <v>15.833333333333334</v>
      </c>
      <c r="K23" s="25">
        <v>2</v>
      </c>
      <c r="L23" s="40">
        <v>20</v>
      </c>
      <c r="M23" s="40">
        <v>24</v>
      </c>
      <c r="N23" s="40">
        <v>22</v>
      </c>
      <c r="O23" s="40">
        <v>17</v>
      </c>
      <c r="P23" s="40">
        <v>23</v>
      </c>
      <c r="Q23" s="40">
        <v>23</v>
      </c>
      <c r="R23" s="31">
        <f t="shared" si="1"/>
        <v>21.5</v>
      </c>
      <c r="T23" s="25">
        <v>2</v>
      </c>
      <c r="U23" s="40">
        <v>16</v>
      </c>
      <c r="V23" s="33">
        <v>22</v>
      </c>
      <c r="W23" s="33">
        <v>33</v>
      </c>
      <c r="X23" s="26">
        <v>33</v>
      </c>
      <c r="Y23" s="42">
        <v>31</v>
      </c>
      <c r="Z23" s="42">
        <v>25</v>
      </c>
      <c r="AA23" s="43"/>
      <c r="AC23" s="25">
        <v>2</v>
      </c>
      <c r="AD23" s="40">
        <v>22</v>
      </c>
      <c r="AE23" s="26">
        <v>21</v>
      </c>
      <c r="AF23" s="41">
        <v>17</v>
      </c>
      <c r="AG23" s="42">
        <v>14</v>
      </c>
      <c r="AH23" s="42">
        <v>19</v>
      </c>
      <c r="AL23" s="25">
        <v>2</v>
      </c>
      <c r="AM23" s="40">
        <v>61.02</v>
      </c>
      <c r="AN23" s="26">
        <v>107.78</v>
      </c>
      <c r="AO23" s="26">
        <v>85.32</v>
      </c>
      <c r="AP23" s="42">
        <v>66.42</v>
      </c>
      <c r="AQ23" s="42">
        <v>139.24</v>
      </c>
      <c r="AU23" s="25">
        <v>2</v>
      </c>
      <c r="AV23" s="40">
        <v>4.8099999999999996</v>
      </c>
      <c r="AW23" s="26">
        <v>7.81</v>
      </c>
      <c r="AX23" s="41">
        <v>17.86</v>
      </c>
      <c r="AY23" s="42">
        <v>16.899999999999999</v>
      </c>
      <c r="AZ23" s="42">
        <v>13.91</v>
      </c>
      <c r="BD23" s="25">
        <v>2</v>
      </c>
      <c r="BE23" s="40">
        <v>9.76</v>
      </c>
      <c r="BF23" s="26">
        <v>8.66</v>
      </c>
      <c r="BG23" s="41">
        <v>5.53</v>
      </c>
      <c r="BH23" s="42">
        <v>5.75</v>
      </c>
      <c r="BI23" s="42">
        <v>88.75</v>
      </c>
      <c r="BM23" s="25">
        <v>2</v>
      </c>
      <c r="BN23" s="40">
        <v>7.54</v>
      </c>
      <c r="BO23" s="26">
        <v>14.29</v>
      </c>
      <c r="BP23" s="41">
        <v>8.18</v>
      </c>
      <c r="BQ23" s="42">
        <v>4.8</v>
      </c>
      <c r="BR23" s="42">
        <v>17.940000000000001</v>
      </c>
    </row>
    <row r="24" spans="1:71" x14ac:dyDescent="0.3">
      <c r="B24" s="25">
        <v>3</v>
      </c>
      <c r="C24" s="40">
        <v>15</v>
      </c>
      <c r="D24" s="40">
        <v>14</v>
      </c>
      <c r="E24" s="40">
        <v>13</v>
      </c>
      <c r="F24" s="40">
        <v>14</v>
      </c>
      <c r="G24" s="36">
        <v>13</v>
      </c>
      <c r="H24" s="40">
        <v>14</v>
      </c>
      <c r="I24" s="31">
        <f t="shared" si="0"/>
        <v>13.833333333333334</v>
      </c>
      <c r="K24" s="25">
        <v>3</v>
      </c>
      <c r="L24" s="40">
        <v>26</v>
      </c>
      <c r="M24" s="40">
        <v>24</v>
      </c>
      <c r="N24" s="40">
        <v>23</v>
      </c>
      <c r="O24" s="40">
        <v>15</v>
      </c>
      <c r="P24" s="40">
        <v>24</v>
      </c>
      <c r="Q24" s="40">
        <v>20</v>
      </c>
      <c r="R24" s="31">
        <f t="shared" si="1"/>
        <v>22</v>
      </c>
      <c r="T24" s="25">
        <v>3</v>
      </c>
      <c r="U24" s="40">
        <v>18</v>
      </c>
      <c r="V24" s="33">
        <v>18</v>
      </c>
      <c r="W24" s="33">
        <v>22</v>
      </c>
      <c r="X24" s="26">
        <v>25</v>
      </c>
      <c r="Y24" s="42">
        <v>20</v>
      </c>
      <c r="Z24" s="42">
        <v>19</v>
      </c>
      <c r="AA24" s="43"/>
      <c r="AC24" s="25">
        <v>3</v>
      </c>
      <c r="AD24" s="40">
        <v>24</v>
      </c>
      <c r="AE24" s="26">
        <v>22</v>
      </c>
      <c r="AF24" s="41">
        <v>16</v>
      </c>
      <c r="AG24" s="42">
        <v>15</v>
      </c>
      <c r="AH24" s="42">
        <v>17</v>
      </c>
      <c r="AL24" s="25">
        <v>3</v>
      </c>
      <c r="AM24" s="40">
        <v>148.47999999999999</v>
      </c>
      <c r="AN24" s="26">
        <v>117.57</v>
      </c>
      <c r="AO24" s="26">
        <v>80.040000000000006</v>
      </c>
      <c r="AP24" s="42">
        <v>68.17</v>
      </c>
      <c r="AQ24" s="42">
        <v>136.22999999999999</v>
      </c>
      <c r="AU24" s="25">
        <v>3</v>
      </c>
      <c r="AV24" s="40">
        <v>20.88</v>
      </c>
      <c r="AW24" s="26">
        <v>43.68</v>
      </c>
      <c r="AX24" s="41">
        <v>15.67</v>
      </c>
      <c r="AY24" s="42">
        <v>9.81</v>
      </c>
      <c r="AZ24" s="42">
        <v>19.77</v>
      </c>
      <c r="BD24" s="25">
        <v>3</v>
      </c>
      <c r="BE24" s="40">
        <v>12.73</v>
      </c>
      <c r="BF24" s="26">
        <v>12.06</v>
      </c>
      <c r="BG24" s="41">
        <v>2.97</v>
      </c>
      <c r="BH24" s="42">
        <v>6.63</v>
      </c>
      <c r="BI24" s="42">
        <v>5.64</v>
      </c>
      <c r="BM24" s="25">
        <v>3</v>
      </c>
      <c r="BN24" s="40">
        <v>24.28</v>
      </c>
      <c r="BO24" s="26">
        <v>30.47</v>
      </c>
      <c r="BP24" s="41">
        <v>14.54</v>
      </c>
      <c r="BQ24" s="42">
        <v>6.92</v>
      </c>
      <c r="BR24" s="42">
        <v>29.27</v>
      </c>
    </row>
    <row r="25" spans="1:71" ht="15.6" x14ac:dyDescent="0.3">
      <c r="B25" s="25">
        <v>4</v>
      </c>
      <c r="C25" s="40">
        <v>12</v>
      </c>
      <c r="D25" s="40">
        <v>17</v>
      </c>
      <c r="E25" s="40">
        <v>14</v>
      </c>
      <c r="F25" s="40">
        <v>12</v>
      </c>
      <c r="G25" s="36">
        <v>16</v>
      </c>
      <c r="H25" s="40">
        <v>20</v>
      </c>
      <c r="I25" s="31">
        <f t="shared" si="0"/>
        <v>15.166666666666666</v>
      </c>
      <c r="K25" s="25">
        <v>4</v>
      </c>
      <c r="L25" s="40">
        <v>18</v>
      </c>
      <c r="M25" s="40">
        <v>23</v>
      </c>
      <c r="N25" s="40">
        <v>21</v>
      </c>
      <c r="O25" s="40">
        <v>17</v>
      </c>
      <c r="P25" s="40">
        <v>24</v>
      </c>
      <c r="Q25" s="40">
        <v>20</v>
      </c>
      <c r="R25" s="31">
        <f t="shared" si="1"/>
        <v>20.5</v>
      </c>
      <c r="T25" s="25">
        <v>4</v>
      </c>
      <c r="U25" s="40">
        <v>20</v>
      </c>
      <c r="V25" s="33">
        <v>18</v>
      </c>
      <c r="W25" s="33">
        <v>20</v>
      </c>
      <c r="X25" s="26">
        <v>18</v>
      </c>
      <c r="Y25" s="45">
        <v>18</v>
      </c>
      <c r="Z25" s="45">
        <v>15</v>
      </c>
      <c r="AA25" s="46"/>
      <c r="AC25" s="25">
        <v>4</v>
      </c>
      <c r="AD25" s="40">
        <v>17</v>
      </c>
      <c r="AE25" s="26">
        <v>18</v>
      </c>
      <c r="AF25" s="41">
        <v>20</v>
      </c>
      <c r="AG25" s="42">
        <v>16</v>
      </c>
      <c r="AH25" s="42">
        <v>24</v>
      </c>
      <c r="AL25" s="25">
        <v>4</v>
      </c>
      <c r="AM25" s="40">
        <v>98.83</v>
      </c>
      <c r="AN25" s="26">
        <v>164.86</v>
      </c>
      <c r="AO25" s="26">
        <v>145.94999999999999</v>
      </c>
      <c r="AP25" s="42">
        <v>73.83</v>
      </c>
      <c r="AQ25" s="42">
        <v>199.43</v>
      </c>
      <c r="AU25" s="25">
        <v>4</v>
      </c>
      <c r="AV25" s="40">
        <v>10.36</v>
      </c>
      <c r="AW25" s="26">
        <v>34.69</v>
      </c>
      <c r="AX25" s="41">
        <v>23.07</v>
      </c>
      <c r="AY25" s="42">
        <v>10.95</v>
      </c>
      <c r="AZ25" s="42">
        <v>29.04</v>
      </c>
      <c r="BD25" s="25">
        <v>4</v>
      </c>
      <c r="BE25" s="40">
        <v>7.15</v>
      </c>
      <c r="BF25" s="26">
        <v>10.55</v>
      </c>
      <c r="BG25" s="41">
        <v>10.58</v>
      </c>
      <c r="BH25" s="42">
        <v>5.0999999999999996</v>
      </c>
      <c r="BI25" s="42">
        <v>12.04</v>
      </c>
      <c r="BM25" s="25">
        <v>4</v>
      </c>
      <c r="BN25" s="40">
        <v>15.76</v>
      </c>
      <c r="BO25" s="26">
        <v>26.6</v>
      </c>
      <c r="BP25" s="41">
        <v>29.31</v>
      </c>
      <c r="BQ25" s="42">
        <v>12.94</v>
      </c>
      <c r="BR25" s="42">
        <v>30.78</v>
      </c>
    </row>
    <row r="26" spans="1:71" ht="15.6" x14ac:dyDescent="0.3">
      <c r="B26" s="25">
        <v>5</v>
      </c>
      <c r="C26" s="40">
        <v>12</v>
      </c>
      <c r="D26" s="40">
        <v>15</v>
      </c>
      <c r="E26" s="40">
        <v>14</v>
      </c>
      <c r="F26" s="40">
        <v>9</v>
      </c>
      <c r="G26" s="36">
        <v>14</v>
      </c>
      <c r="H26" s="40">
        <v>15</v>
      </c>
      <c r="I26" s="31">
        <f t="shared" si="0"/>
        <v>13.166666666666666</v>
      </c>
      <c r="K26" s="25">
        <v>5</v>
      </c>
      <c r="L26" s="40">
        <v>20</v>
      </c>
      <c r="M26" s="40">
        <v>16</v>
      </c>
      <c r="N26" s="40">
        <v>24</v>
      </c>
      <c r="O26" s="40">
        <v>19</v>
      </c>
      <c r="P26" s="40">
        <v>21</v>
      </c>
      <c r="Q26" s="40">
        <v>23</v>
      </c>
      <c r="R26" s="31">
        <f t="shared" si="1"/>
        <v>20.5</v>
      </c>
      <c r="T26" s="25">
        <v>5</v>
      </c>
      <c r="U26" s="40">
        <v>16</v>
      </c>
      <c r="V26" s="33">
        <v>17</v>
      </c>
      <c r="W26" s="33">
        <v>12</v>
      </c>
      <c r="X26" s="26">
        <v>13</v>
      </c>
      <c r="Y26" s="45">
        <v>16</v>
      </c>
      <c r="Z26" s="45">
        <v>15</v>
      </c>
      <c r="AA26" s="46"/>
      <c r="AC26" s="25">
        <v>5</v>
      </c>
      <c r="AD26" s="40">
        <v>21</v>
      </c>
      <c r="AE26" s="26">
        <v>25</v>
      </c>
      <c r="AF26" s="41">
        <v>20</v>
      </c>
      <c r="AG26" s="42">
        <v>0</v>
      </c>
      <c r="AH26" s="42">
        <v>21</v>
      </c>
      <c r="AL26" s="25">
        <v>5</v>
      </c>
      <c r="AM26" s="40">
        <v>174.35</v>
      </c>
      <c r="AN26" s="26">
        <v>145.11000000000001</v>
      </c>
      <c r="AO26" s="26">
        <v>154.76</v>
      </c>
      <c r="AP26" s="42">
        <v>0</v>
      </c>
      <c r="AQ26" s="42">
        <v>163.27000000000001</v>
      </c>
      <c r="AU26" s="25">
        <v>5</v>
      </c>
      <c r="AV26" s="40">
        <v>18.559999999999999</v>
      </c>
      <c r="AW26" s="26">
        <v>39.65</v>
      </c>
      <c r="AX26" s="41">
        <v>34.369999999999997</v>
      </c>
      <c r="AY26" s="42">
        <v>92.33</v>
      </c>
      <c r="AZ26" s="42">
        <v>25.27</v>
      </c>
      <c r="BD26" s="25">
        <v>5</v>
      </c>
      <c r="BE26" s="40">
        <v>15.37</v>
      </c>
      <c r="BF26" s="26">
        <v>13.14</v>
      </c>
      <c r="BG26" s="41">
        <v>13.45</v>
      </c>
      <c r="BH26" s="42">
        <v>0</v>
      </c>
      <c r="BI26" s="42">
        <v>11.62</v>
      </c>
      <c r="BM26" s="25">
        <v>5</v>
      </c>
      <c r="BN26" s="40">
        <v>31.03</v>
      </c>
      <c r="BO26" s="26">
        <v>30.61</v>
      </c>
      <c r="BP26" s="41">
        <v>31.7</v>
      </c>
      <c r="BQ26" s="42">
        <v>18.82</v>
      </c>
      <c r="BR26" s="42">
        <v>30.7</v>
      </c>
    </row>
    <row r="27" spans="1:71" x14ac:dyDescent="0.3">
      <c r="A27" s="25" t="s">
        <v>67</v>
      </c>
      <c r="B27" s="29">
        <v>1</v>
      </c>
      <c r="C27" s="36">
        <v>20</v>
      </c>
      <c r="D27" s="36">
        <v>20</v>
      </c>
      <c r="E27" s="36">
        <v>23</v>
      </c>
      <c r="F27" s="36">
        <v>22</v>
      </c>
      <c r="G27" s="36">
        <v>22</v>
      </c>
      <c r="H27" s="40">
        <v>23</v>
      </c>
      <c r="I27" s="31">
        <f t="shared" si="0"/>
        <v>21.666666666666668</v>
      </c>
      <c r="J27" s="25" t="s">
        <v>67</v>
      </c>
      <c r="K27" s="29">
        <v>1</v>
      </c>
      <c r="L27" s="36">
        <v>17</v>
      </c>
      <c r="M27" s="40">
        <v>20</v>
      </c>
      <c r="N27" s="40">
        <v>20</v>
      </c>
      <c r="O27" s="40">
        <v>18</v>
      </c>
      <c r="P27" s="40">
        <v>20</v>
      </c>
      <c r="Q27" s="40">
        <v>20</v>
      </c>
      <c r="R27" s="31">
        <f t="shared" si="1"/>
        <v>19.166666666666668</v>
      </c>
      <c r="S27" s="25" t="s">
        <v>67</v>
      </c>
      <c r="T27" s="29">
        <v>1</v>
      </c>
      <c r="U27" s="36">
        <v>7</v>
      </c>
      <c r="V27" s="33">
        <v>14</v>
      </c>
      <c r="W27" s="33">
        <v>18</v>
      </c>
      <c r="X27" s="26">
        <v>16</v>
      </c>
      <c r="Y27" s="42">
        <v>14</v>
      </c>
      <c r="Z27" s="42">
        <v>36</v>
      </c>
      <c r="AB27" s="25" t="s">
        <v>67</v>
      </c>
      <c r="AC27" s="29">
        <v>1</v>
      </c>
      <c r="AD27" s="36">
        <v>11</v>
      </c>
      <c r="AE27" s="26">
        <v>11</v>
      </c>
      <c r="AF27" s="26">
        <v>10</v>
      </c>
      <c r="AG27" s="41">
        <v>9</v>
      </c>
      <c r="AI27" s="26">
        <v>9</v>
      </c>
      <c r="AK27" s="25" t="s">
        <v>67</v>
      </c>
      <c r="AL27" s="29">
        <v>1</v>
      </c>
      <c r="AM27" s="26">
        <v>29.99</v>
      </c>
      <c r="AN27" s="26">
        <v>37.25</v>
      </c>
      <c r="AO27" s="26">
        <v>36.35</v>
      </c>
      <c r="AP27" s="26">
        <v>25.57</v>
      </c>
      <c r="AR27" s="26">
        <v>26.99</v>
      </c>
      <c r="AT27" s="25" t="s">
        <v>67</v>
      </c>
      <c r="AU27" s="29">
        <v>1</v>
      </c>
      <c r="AV27" s="36">
        <v>9.0399999999999991</v>
      </c>
      <c r="AW27" s="26">
        <v>7.09</v>
      </c>
      <c r="AX27" s="26">
        <v>3.55</v>
      </c>
      <c r="AY27" s="41">
        <v>3.29</v>
      </c>
      <c r="BA27" s="26">
        <v>5.96</v>
      </c>
      <c r="BC27" s="25" t="s">
        <v>67</v>
      </c>
      <c r="BD27" s="29">
        <v>1</v>
      </c>
      <c r="BE27" s="36">
        <v>0.93</v>
      </c>
      <c r="BF27" s="26">
        <v>1.6</v>
      </c>
      <c r="BG27" s="26">
        <v>1.26</v>
      </c>
      <c r="BH27" s="41">
        <v>0.85</v>
      </c>
      <c r="BJ27" s="26">
        <v>1.18</v>
      </c>
      <c r="BL27" s="25" t="s">
        <v>67</v>
      </c>
      <c r="BM27" s="29">
        <v>1</v>
      </c>
      <c r="BN27" s="36">
        <v>0.97</v>
      </c>
      <c r="BO27" s="26">
        <v>1.18</v>
      </c>
      <c r="BP27" s="26">
        <v>1.33</v>
      </c>
      <c r="BQ27" s="41">
        <v>0.84</v>
      </c>
      <c r="BS27" s="26">
        <v>0.74</v>
      </c>
    </row>
    <row r="28" spans="1:71" x14ac:dyDescent="0.3">
      <c r="B28" s="25">
        <v>2</v>
      </c>
      <c r="C28" s="36">
        <v>14</v>
      </c>
      <c r="D28" s="36">
        <v>14</v>
      </c>
      <c r="E28" s="36">
        <v>11</v>
      </c>
      <c r="F28" s="36">
        <v>13</v>
      </c>
      <c r="G28" s="36">
        <v>17</v>
      </c>
      <c r="H28" s="36">
        <v>17</v>
      </c>
      <c r="I28" s="31">
        <f t="shared" si="0"/>
        <v>14.333333333333334</v>
      </c>
      <c r="K28" s="25">
        <v>2</v>
      </c>
      <c r="L28" s="36">
        <v>32</v>
      </c>
      <c r="M28" s="36">
        <v>25</v>
      </c>
      <c r="N28" s="36">
        <v>30</v>
      </c>
      <c r="O28" s="36">
        <v>29</v>
      </c>
      <c r="P28" s="36">
        <v>29</v>
      </c>
      <c r="Q28" s="36">
        <v>28</v>
      </c>
      <c r="R28" s="31">
        <f t="shared" si="1"/>
        <v>28.833333333333332</v>
      </c>
      <c r="T28" s="25">
        <v>2</v>
      </c>
      <c r="U28" s="36">
        <v>25</v>
      </c>
      <c r="V28" s="33">
        <v>28</v>
      </c>
      <c r="W28" s="33">
        <v>28</v>
      </c>
      <c r="X28" s="26">
        <v>29</v>
      </c>
      <c r="Y28" s="42">
        <v>20</v>
      </c>
      <c r="Z28" s="42">
        <v>24</v>
      </c>
      <c r="AC28" s="25">
        <v>2</v>
      </c>
      <c r="AD28" s="36">
        <v>18</v>
      </c>
      <c r="AE28" s="26">
        <v>16</v>
      </c>
      <c r="AF28" s="41">
        <v>20</v>
      </c>
      <c r="AG28" s="42">
        <v>16</v>
      </c>
      <c r="AH28" s="42">
        <v>23</v>
      </c>
      <c r="AL28" s="25">
        <v>2</v>
      </c>
      <c r="AM28" s="36">
        <v>103.71</v>
      </c>
      <c r="AN28" s="26">
        <v>92.32</v>
      </c>
      <c r="AO28" s="26">
        <v>123.33</v>
      </c>
      <c r="AP28" s="42">
        <v>84.91</v>
      </c>
      <c r="AQ28" s="42">
        <v>122.23</v>
      </c>
      <c r="AU28" s="25">
        <v>2</v>
      </c>
      <c r="AV28" s="36">
        <v>38.89</v>
      </c>
      <c r="AW28" s="26">
        <v>27.21</v>
      </c>
      <c r="AX28" s="41">
        <v>31</v>
      </c>
      <c r="AY28" s="42">
        <v>29.33</v>
      </c>
      <c r="AZ28" s="42">
        <v>41.81</v>
      </c>
      <c r="BD28" s="25">
        <v>2</v>
      </c>
      <c r="BE28" s="36">
        <v>5.61</v>
      </c>
      <c r="BF28" s="26">
        <v>2.62</v>
      </c>
      <c r="BG28" s="41">
        <v>4.76</v>
      </c>
      <c r="BH28" s="42">
        <v>3.15</v>
      </c>
      <c r="BI28" s="42">
        <v>5.71</v>
      </c>
      <c r="BM28" s="25">
        <v>2</v>
      </c>
      <c r="BN28" s="36">
        <v>8.6199999999999992</v>
      </c>
      <c r="BO28" s="26">
        <v>6.49</v>
      </c>
      <c r="BP28" s="41">
        <v>9.3000000000000007</v>
      </c>
      <c r="BQ28" s="42">
        <v>7.45</v>
      </c>
      <c r="BR28" s="42">
        <v>12.31</v>
      </c>
    </row>
    <row r="29" spans="1:71" x14ac:dyDescent="0.3">
      <c r="B29" s="25">
        <v>3</v>
      </c>
      <c r="C29" s="36">
        <v>15</v>
      </c>
      <c r="D29" s="36">
        <v>13</v>
      </c>
      <c r="E29" s="36">
        <v>14</v>
      </c>
      <c r="F29" s="36">
        <v>13</v>
      </c>
      <c r="G29" s="36">
        <v>17</v>
      </c>
      <c r="H29" s="36">
        <v>15</v>
      </c>
      <c r="I29" s="31">
        <f t="shared" si="0"/>
        <v>14.5</v>
      </c>
      <c r="K29" s="25">
        <v>3</v>
      </c>
      <c r="L29" s="36">
        <v>30</v>
      </c>
      <c r="M29" s="36">
        <v>26</v>
      </c>
      <c r="N29" s="36">
        <v>27</v>
      </c>
      <c r="O29" s="36">
        <v>27</v>
      </c>
      <c r="P29" s="36">
        <v>33</v>
      </c>
      <c r="Q29" s="36">
        <v>26</v>
      </c>
      <c r="R29" s="31">
        <f t="shared" si="1"/>
        <v>28.166666666666668</v>
      </c>
      <c r="T29" s="25">
        <v>3</v>
      </c>
      <c r="U29" s="36">
        <v>14</v>
      </c>
      <c r="V29" s="33">
        <v>23</v>
      </c>
      <c r="W29" s="33">
        <v>19</v>
      </c>
      <c r="X29" s="26">
        <v>15</v>
      </c>
      <c r="Y29" s="42">
        <v>14</v>
      </c>
      <c r="Z29" s="42">
        <v>17</v>
      </c>
      <c r="AC29" s="25">
        <v>3</v>
      </c>
      <c r="AD29" s="36">
        <v>20</v>
      </c>
      <c r="AE29" s="26">
        <v>17</v>
      </c>
      <c r="AF29" s="41">
        <v>20</v>
      </c>
      <c r="AG29" s="42">
        <v>19</v>
      </c>
      <c r="AH29" s="42">
        <v>24</v>
      </c>
      <c r="AL29" s="25">
        <v>3</v>
      </c>
      <c r="AM29" s="36">
        <v>112.9</v>
      </c>
      <c r="AN29" s="26">
        <v>88.83</v>
      </c>
      <c r="AO29" s="26">
        <v>101.06</v>
      </c>
      <c r="AP29" s="42">
        <v>177.71</v>
      </c>
      <c r="AQ29" s="42">
        <v>124.76</v>
      </c>
      <c r="AU29" s="25">
        <v>3</v>
      </c>
      <c r="AV29" s="36">
        <v>55.7</v>
      </c>
      <c r="AW29" s="26">
        <v>45.53</v>
      </c>
      <c r="AX29" s="41">
        <v>55.76</v>
      </c>
      <c r="AY29" s="42">
        <v>39.130000000000003</v>
      </c>
      <c r="AZ29" s="42">
        <v>41.43</v>
      </c>
      <c r="BD29" s="25">
        <v>3</v>
      </c>
      <c r="BE29" s="36">
        <v>4.96</v>
      </c>
      <c r="BF29" s="26">
        <v>4.4400000000000004</v>
      </c>
      <c r="BG29" s="41">
        <v>5.96</v>
      </c>
      <c r="BH29" s="42">
        <v>5.71</v>
      </c>
      <c r="BI29" s="42">
        <v>6.53</v>
      </c>
      <c r="BM29" s="25">
        <v>3</v>
      </c>
      <c r="BN29" s="36">
        <v>17.850000000000001</v>
      </c>
      <c r="BO29" s="26">
        <v>11.08</v>
      </c>
      <c r="BP29" s="41">
        <v>15.03</v>
      </c>
      <c r="BQ29" s="42">
        <v>14.83</v>
      </c>
      <c r="BR29" s="42">
        <v>13.07</v>
      </c>
    </row>
    <row r="30" spans="1:71" x14ac:dyDescent="0.3">
      <c r="B30" s="25">
        <v>4</v>
      </c>
      <c r="C30" s="40">
        <v>13</v>
      </c>
      <c r="D30" s="40">
        <v>17</v>
      </c>
      <c r="E30" s="40">
        <v>15</v>
      </c>
      <c r="F30" s="40">
        <v>16</v>
      </c>
      <c r="G30" s="36">
        <v>14</v>
      </c>
      <c r="H30" s="36">
        <v>16</v>
      </c>
      <c r="I30" s="31">
        <f t="shared" si="0"/>
        <v>15.166666666666666</v>
      </c>
      <c r="K30" s="25">
        <v>4</v>
      </c>
      <c r="L30" s="40">
        <v>30</v>
      </c>
      <c r="M30" s="36">
        <v>31</v>
      </c>
      <c r="N30" s="36">
        <v>32</v>
      </c>
      <c r="O30" s="36">
        <v>28</v>
      </c>
      <c r="P30" s="36">
        <v>30</v>
      </c>
      <c r="Q30" s="36">
        <v>30</v>
      </c>
      <c r="R30" s="31">
        <f t="shared" si="1"/>
        <v>30.166666666666668</v>
      </c>
      <c r="T30" s="25">
        <v>4</v>
      </c>
      <c r="U30" s="40">
        <v>21</v>
      </c>
      <c r="V30" s="33">
        <v>19</v>
      </c>
      <c r="W30" s="33">
        <v>24</v>
      </c>
      <c r="X30" s="26">
        <v>17</v>
      </c>
      <c r="Y30" s="42">
        <v>23</v>
      </c>
      <c r="Z30" s="42">
        <v>22</v>
      </c>
      <c r="AC30" s="25">
        <v>4</v>
      </c>
      <c r="AD30" s="40">
        <v>22</v>
      </c>
      <c r="AE30" s="26">
        <v>20</v>
      </c>
      <c r="AF30" s="41">
        <v>22</v>
      </c>
      <c r="AG30" s="42">
        <v>18</v>
      </c>
      <c r="AH30" s="42">
        <v>18</v>
      </c>
      <c r="AL30" s="25">
        <v>4</v>
      </c>
      <c r="AM30" s="40">
        <v>154.84</v>
      </c>
      <c r="AN30" s="26">
        <v>170.15</v>
      </c>
      <c r="AO30" s="26">
        <v>144.15</v>
      </c>
      <c r="AP30" s="42">
        <v>143.54</v>
      </c>
      <c r="AQ30" s="42">
        <v>135.15</v>
      </c>
      <c r="AU30" s="25">
        <v>4</v>
      </c>
      <c r="AV30" s="40">
        <v>31.21</v>
      </c>
      <c r="AW30" s="26">
        <v>48.44</v>
      </c>
      <c r="AX30" s="41">
        <v>40.96</v>
      </c>
      <c r="AY30" s="42">
        <v>48.8</v>
      </c>
      <c r="AZ30" s="42">
        <v>39.78</v>
      </c>
      <c r="BD30" s="25">
        <v>4</v>
      </c>
      <c r="BE30" s="36">
        <v>3.21</v>
      </c>
      <c r="BF30" s="26">
        <v>7.17</v>
      </c>
      <c r="BG30" s="41">
        <v>5.97</v>
      </c>
      <c r="BH30" s="42">
        <v>8.5500000000000007</v>
      </c>
      <c r="BI30" s="42">
        <v>8.27</v>
      </c>
      <c r="BM30" s="25">
        <v>4</v>
      </c>
      <c r="BN30" s="40">
        <v>17.399999999999999</v>
      </c>
      <c r="BO30" s="26">
        <v>19.05</v>
      </c>
      <c r="BP30" s="41">
        <v>13.23</v>
      </c>
      <c r="BQ30" s="42">
        <v>18.239999999999998</v>
      </c>
      <c r="BR30" s="42">
        <v>16.52</v>
      </c>
    </row>
    <row r="31" spans="1:71" x14ac:dyDescent="0.3">
      <c r="B31" s="25">
        <v>5</v>
      </c>
      <c r="C31" s="40">
        <v>15</v>
      </c>
      <c r="D31" s="40">
        <v>15</v>
      </c>
      <c r="E31" s="40">
        <v>10</v>
      </c>
      <c r="F31" s="40">
        <v>14</v>
      </c>
      <c r="G31" s="36">
        <v>15</v>
      </c>
      <c r="H31" s="40">
        <v>13</v>
      </c>
      <c r="I31" s="31">
        <f t="shared" si="0"/>
        <v>13.666666666666666</v>
      </c>
      <c r="K31" s="25">
        <v>5</v>
      </c>
      <c r="L31" s="40">
        <v>25</v>
      </c>
      <c r="M31" s="40">
        <v>29</v>
      </c>
      <c r="N31" s="40">
        <v>31</v>
      </c>
      <c r="O31" s="40">
        <v>29</v>
      </c>
      <c r="P31" s="40">
        <v>29</v>
      </c>
      <c r="Q31" s="40">
        <v>30</v>
      </c>
      <c r="R31" s="31">
        <f t="shared" si="1"/>
        <v>28.833333333333332</v>
      </c>
      <c r="T31" s="25">
        <v>5</v>
      </c>
      <c r="U31" s="40">
        <v>22</v>
      </c>
      <c r="V31" s="33">
        <v>18</v>
      </c>
      <c r="W31" s="33">
        <v>14</v>
      </c>
      <c r="X31" s="26">
        <v>19</v>
      </c>
      <c r="Y31" s="42">
        <v>15</v>
      </c>
      <c r="Z31" s="42">
        <v>19</v>
      </c>
      <c r="AC31" s="25">
        <v>5</v>
      </c>
      <c r="AD31" s="40">
        <v>19</v>
      </c>
      <c r="AE31" s="26">
        <v>19</v>
      </c>
      <c r="AF31" s="41">
        <v>17</v>
      </c>
      <c r="AG31" s="42">
        <v>17</v>
      </c>
      <c r="AH31" s="42">
        <v>24</v>
      </c>
      <c r="AL31" s="25">
        <v>5</v>
      </c>
      <c r="AM31" s="40">
        <v>123.39</v>
      </c>
      <c r="AN31" s="26">
        <v>141.02000000000001</v>
      </c>
      <c r="AO31" s="26">
        <v>117.23</v>
      </c>
      <c r="AP31" s="42">
        <v>150.41999999999999</v>
      </c>
      <c r="AQ31" s="42">
        <v>165.27</v>
      </c>
      <c r="AU31" s="25">
        <v>5</v>
      </c>
      <c r="AV31" s="40">
        <v>36.94</v>
      </c>
      <c r="AW31" s="26">
        <v>56.17</v>
      </c>
      <c r="AX31" s="41">
        <v>49.33</v>
      </c>
      <c r="AY31" s="42">
        <v>42.91</v>
      </c>
      <c r="AZ31" s="42">
        <v>45.65</v>
      </c>
      <c r="BD31" s="25">
        <v>5</v>
      </c>
      <c r="BE31" s="40">
        <v>8.0299999999999994</v>
      </c>
      <c r="BF31" s="26">
        <v>9.52</v>
      </c>
      <c r="BG31" s="41">
        <v>10.09</v>
      </c>
      <c r="BH31" s="42">
        <v>7.77</v>
      </c>
      <c r="BI31" s="42">
        <v>10.79</v>
      </c>
      <c r="BM31" s="25">
        <v>5</v>
      </c>
      <c r="BN31" s="40">
        <v>17.170000000000002</v>
      </c>
      <c r="BO31" s="26">
        <v>17.86</v>
      </c>
      <c r="BP31" s="41">
        <v>20.329999999999998</v>
      </c>
      <c r="BQ31" s="42">
        <v>19.559999999999999</v>
      </c>
      <c r="BR31" s="42">
        <v>26.76</v>
      </c>
    </row>
    <row r="32" spans="1:71" x14ac:dyDescent="0.3">
      <c r="A32" s="47"/>
      <c r="B32" s="48"/>
      <c r="C32" s="40"/>
      <c r="D32" s="40"/>
      <c r="E32" s="40"/>
      <c r="F32" s="40"/>
      <c r="G32" s="36"/>
      <c r="H32" s="40"/>
      <c r="I32" s="49"/>
      <c r="J32" s="48"/>
      <c r="K32" s="48"/>
      <c r="L32" s="40"/>
      <c r="M32" s="40"/>
      <c r="N32" s="40"/>
      <c r="O32" s="40"/>
      <c r="P32" s="40"/>
      <c r="Q32" s="40"/>
      <c r="R32" s="49"/>
      <c r="S32" s="48"/>
      <c r="T32" s="48"/>
      <c r="U32" s="40"/>
    </row>
    <row r="33" spans="1:72" x14ac:dyDescent="0.3">
      <c r="A33" t="s">
        <v>75</v>
      </c>
      <c r="B33" s="48" t="s">
        <v>213</v>
      </c>
      <c r="C33" s="40"/>
      <c r="D33" s="40"/>
      <c r="E33" s="40"/>
      <c r="F33" s="40"/>
      <c r="G33" s="36"/>
      <c r="H33" s="40"/>
      <c r="I33" s="49"/>
      <c r="J33" s="48"/>
      <c r="K33" s="48" t="s">
        <v>214</v>
      </c>
      <c r="L33" s="40"/>
      <c r="M33" s="40"/>
      <c r="N33" s="40"/>
      <c r="O33" s="40"/>
      <c r="P33" s="40"/>
      <c r="Q33" s="40"/>
      <c r="R33" s="49"/>
      <c r="S33" s="48"/>
      <c r="T33" s="48" t="s">
        <v>213</v>
      </c>
      <c r="U33" s="40"/>
      <c r="AC33" s="25" t="s">
        <v>215</v>
      </c>
    </row>
    <row r="34" spans="1:72" x14ac:dyDescent="0.3">
      <c r="A34" t="s">
        <v>193</v>
      </c>
      <c r="B34" s="47">
        <v>23</v>
      </c>
      <c r="C34" s="36">
        <v>25</v>
      </c>
      <c r="D34" s="36">
        <v>22</v>
      </c>
      <c r="E34" s="36">
        <v>23</v>
      </c>
      <c r="F34" s="36">
        <v>25</v>
      </c>
      <c r="G34" s="36">
        <v>24.5</v>
      </c>
      <c r="H34" s="40">
        <v>25</v>
      </c>
      <c r="I34" s="49">
        <v>23</v>
      </c>
      <c r="J34" s="48"/>
      <c r="K34" s="48">
        <v>10</v>
      </c>
      <c r="L34" s="40">
        <v>11</v>
      </c>
      <c r="M34" s="40">
        <v>11.5</v>
      </c>
      <c r="N34" s="40">
        <v>9</v>
      </c>
      <c r="O34" s="40">
        <v>17</v>
      </c>
      <c r="P34" s="40">
        <v>11.5</v>
      </c>
      <c r="Q34" s="40">
        <v>13</v>
      </c>
      <c r="R34" s="49">
        <v>10</v>
      </c>
      <c r="S34" s="48"/>
      <c r="T34" s="48">
        <v>16</v>
      </c>
      <c r="U34" s="40">
        <v>21</v>
      </c>
      <c r="V34" s="26">
        <v>15</v>
      </c>
      <c r="W34" s="26">
        <v>20</v>
      </c>
      <c r="X34" s="26">
        <v>28</v>
      </c>
      <c r="Y34" s="26">
        <v>15</v>
      </c>
      <c r="Z34" s="26">
        <v>27</v>
      </c>
      <c r="AA34" s="28">
        <v>26</v>
      </c>
      <c r="AC34" s="25">
        <v>7</v>
      </c>
      <c r="AD34" s="26">
        <v>5</v>
      </c>
      <c r="AE34" s="26">
        <v>6</v>
      </c>
      <c r="AF34" s="26">
        <v>9</v>
      </c>
      <c r="AG34" s="26">
        <v>11</v>
      </c>
      <c r="AH34" s="26">
        <v>9</v>
      </c>
      <c r="AI34" s="26">
        <v>5</v>
      </c>
      <c r="AJ34" s="28">
        <v>5</v>
      </c>
      <c r="AL34" s="25">
        <v>19.13</v>
      </c>
      <c r="AM34" s="26">
        <v>18.2</v>
      </c>
      <c r="AN34" s="26">
        <v>38.799999999999997</v>
      </c>
      <c r="AO34" s="26">
        <v>48.3</v>
      </c>
      <c r="AP34" s="26">
        <v>88.5</v>
      </c>
      <c r="AQ34" s="26">
        <v>28.9</v>
      </c>
      <c r="AR34" s="26">
        <v>39.5</v>
      </c>
      <c r="AS34" s="28">
        <v>14</v>
      </c>
      <c r="AU34" s="25">
        <v>9.93</v>
      </c>
      <c r="AV34" s="26">
        <v>2.1</v>
      </c>
      <c r="AW34" s="26">
        <v>5.6</v>
      </c>
      <c r="AX34" s="26">
        <v>5</v>
      </c>
      <c r="AY34" s="26">
        <v>21.9</v>
      </c>
      <c r="AZ34" s="26">
        <v>1.9</v>
      </c>
      <c r="BA34" s="26">
        <v>24.4</v>
      </c>
      <c r="BB34" s="28">
        <v>14.8</v>
      </c>
      <c r="BD34" s="25">
        <v>9.93</v>
      </c>
      <c r="BE34" s="26">
        <v>7.2</v>
      </c>
      <c r="BF34" s="26">
        <v>16.11</v>
      </c>
      <c r="BG34" s="26">
        <v>11.22</v>
      </c>
      <c r="BH34" s="26">
        <v>19.7</v>
      </c>
      <c r="BI34" s="26">
        <v>10.5</v>
      </c>
      <c r="BJ34" s="26">
        <v>8.1199999999999992</v>
      </c>
      <c r="BK34" s="28">
        <v>8.5</v>
      </c>
      <c r="BM34" s="25">
        <v>1.42</v>
      </c>
      <c r="BN34" s="26">
        <v>1.6</v>
      </c>
      <c r="BO34" s="26">
        <v>2.2999999999999998</v>
      </c>
      <c r="BP34" s="26">
        <v>1.2</v>
      </c>
      <c r="BQ34" s="26">
        <v>5.3</v>
      </c>
      <c r="BR34" s="26">
        <v>1.1399999999999999</v>
      </c>
      <c r="BS34" s="26">
        <v>1.73</v>
      </c>
      <c r="BT34" s="69">
        <v>2.11</v>
      </c>
    </row>
    <row r="35" spans="1:72" x14ac:dyDescent="0.3">
      <c r="A35" t="s">
        <v>64</v>
      </c>
      <c r="B35" s="47">
        <v>14</v>
      </c>
      <c r="C35" s="36">
        <v>15</v>
      </c>
      <c r="D35" s="36">
        <v>15.5</v>
      </c>
      <c r="E35" s="36">
        <v>14</v>
      </c>
      <c r="F35" s="36">
        <v>16</v>
      </c>
      <c r="G35" s="36">
        <v>13</v>
      </c>
      <c r="H35" s="36"/>
      <c r="I35" s="50"/>
      <c r="J35" s="47"/>
      <c r="K35" s="47">
        <v>7</v>
      </c>
      <c r="L35" s="36">
        <v>6</v>
      </c>
      <c r="M35" s="36">
        <v>4</v>
      </c>
      <c r="N35" s="36">
        <v>3</v>
      </c>
      <c r="O35" s="36">
        <v>8</v>
      </c>
      <c r="P35" s="36">
        <v>10</v>
      </c>
      <c r="Q35" s="36"/>
      <c r="R35" s="50"/>
      <c r="S35" s="47"/>
      <c r="T35" s="47">
        <v>17</v>
      </c>
      <c r="U35" s="36">
        <v>1</v>
      </c>
      <c r="V35" s="26">
        <v>1</v>
      </c>
      <c r="W35" s="26">
        <v>1</v>
      </c>
      <c r="X35" s="26">
        <v>17</v>
      </c>
      <c r="AC35" s="25">
        <v>13</v>
      </c>
      <c r="AD35" s="26">
        <v>12</v>
      </c>
      <c r="AE35" s="26">
        <v>8</v>
      </c>
      <c r="AF35" s="26">
        <v>11</v>
      </c>
      <c r="AG35" s="26">
        <v>16</v>
      </c>
      <c r="AH35" s="26">
        <v>11</v>
      </c>
      <c r="AL35" s="25">
        <v>38.5</v>
      </c>
      <c r="AM35" s="26">
        <v>19.7</v>
      </c>
      <c r="AN35" s="26">
        <v>15</v>
      </c>
      <c r="AO35" s="26">
        <v>11.5</v>
      </c>
      <c r="AP35" s="26">
        <v>40.700000000000003</v>
      </c>
      <c r="AQ35" s="26">
        <v>21.6</v>
      </c>
      <c r="AU35" s="25">
        <v>13.5</v>
      </c>
      <c r="AV35" s="26">
        <v>4.3</v>
      </c>
      <c r="AW35" s="26">
        <v>5.6</v>
      </c>
      <c r="AX35" s="26">
        <v>2.7</v>
      </c>
      <c r="AY35" s="26">
        <v>14.6</v>
      </c>
      <c r="AZ35" s="26">
        <v>5.3</v>
      </c>
      <c r="BD35" s="25">
        <v>7.5</v>
      </c>
      <c r="BE35" s="26">
        <v>3.4</v>
      </c>
      <c r="BF35" s="26">
        <v>4.4000000000000004</v>
      </c>
      <c r="BG35" s="26">
        <v>2.6</v>
      </c>
      <c r="BH35" s="26">
        <v>4.8</v>
      </c>
      <c r="BI35" s="26">
        <v>3.33</v>
      </c>
      <c r="BM35" s="25">
        <v>1.8</v>
      </c>
      <c r="BQ35" s="26">
        <v>3.3</v>
      </c>
    </row>
    <row r="36" spans="1:72" x14ac:dyDescent="0.3">
      <c r="A36" t="s">
        <v>63</v>
      </c>
      <c r="B36" s="48">
        <v>26</v>
      </c>
      <c r="C36" s="40">
        <v>25</v>
      </c>
      <c r="D36" s="40">
        <v>25</v>
      </c>
      <c r="E36" s="40">
        <v>27</v>
      </c>
      <c r="F36" s="40">
        <v>20</v>
      </c>
      <c r="G36" s="36"/>
      <c r="H36" s="36"/>
      <c r="I36" s="50"/>
      <c r="J36" s="47"/>
      <c r="K36" s="47">
        <v>8</v>
      </c>
      <c r="L36" s="36">
        <v>9</v>
      </c>
      <c r="M36" s="36">
        <v>8</v>
      </c>
      <c r="N36" s="36">
        <v>11</v>
      </c>
      <c r="O36" s="36">
        <v>7</v>
      </c>
      <c r="P36" s="36"/>
      <c r="Q36" s="36"/>
      <c r="R36" s="50"/>
      <c r="S36" s="47"/>
      <c r="T36" s="47">
        <v>11</v>
      </c>
      <c r="U36" s="36">
        <v>5</v>
      </c>
      <c r="V36" s="26">
        <v>7</v>
      </c>
      <c r="W36" s="26">
        <v>1</v>
      </c>
      <c r="X36" s="26">
        <v>20</v>
      </c>
      <c r="AC36" s="25">
        <v>14</v>
      </c>
      <c r="AD36" s="26">
        <v>9</v>
      </c>
      <c r="AE36" s="26">
        <v>12</v>
      </c>
      <c r="AF36" s="26">
        <v>13</v>
      </c>
      <c r="AG36" s="26">
        <v>12</v>
      </c>
      <c r="AL36" s="25">
        <v>59.2</v>
      </c>
      <c r="AM36" s="26">
        <v>28.7</v>
      </c>
      <c r="AN36" s="26">
        <v>42.1</v>
      </c>
      <c r="AO36" s="26">
        <v>58.2</v>
      </c>
      <c r="AP36" s="26">
        <v>24.1</v>
      </c>
      <c r="AU36" s="25">
        <v>11.2</v>
      </c>
      <c r="AV36" s="26">
        <v>13.2</v>
      </c>
      <c r="AW36" s="26">
        <v>10.6</v>
      </c>
      <c r="AX36" s="26">
        <v>18.399999999999999</v>
      </c>
      <c r="AY36" s="26">
        <v>5</v>
      </c>
      <c r="BD36" s="25">
        <v>6.2</v>
      </c>
      <c r="BE36" s="26">
        <v>10.199999999999999</v>
      </c>
      <c r="BF36" s="26">
        <v>4.3</v>
      </c>
      <c r="BG36" s="26">
        <v>5.9</v>
      </c>
      <c r="BH36" s="26">
        <v>4.8</v>
      </c>
      <c r="BM36" s="25">
        <v>2.2999999999999998</v>
      </c>
      <c r="BN36" s="26">
        <v>1.2</v>
      </c>
      <c r="BO36" s="26">
        <v>1.17</v>
      </c>
      <c r="BP36" s="26">
        <v>3.04</v>
      </c>
    </row>
    <row r="37" spans="1:72" x14ac:dyDescent="0.3">
      <c r="A37" t="s">
        <v>194</v>
      </c>
      <c r="B37" s="48">
        <v>22</v>
      </c>
      <c r="C37" s="40">
        <v>19</v>
      </c>
      <c r="D37" s="40">
        <v>16</v>
      </c>
      <c r="E37" s="40">
        <v>24</v>
      </c>
      <c r="F37" s="40">
        <v>25</v>
      </c>
      <c r="G37" s="36">
        <v>25</v>
      </c>
      <c r="H37" s="40">
        <v>14</v>
      </c>
      <c r="I37" s="49"/>
      <c r="J37" s="48"/>
      <c r="K37" s="48">
        <v>10</v>
      </c>
      <c r="L37" s="40">
        <v>8</v>
      </c>
      <c r="M37" s="40">
        <v>10</v>
      </c>
      <c r="N37" s="40">
        <v>10</v>
      </c>
      <c r="O37" s="40">
        <v>12</v>
      </c>
      <c r="P37" s="40">
        <v>13</v>
      </c>
      <c r="Q37" s="40">
        <v>6</v>
      </c>
      <c r="R37" s="49"/>
      <c r="S37" s="48"/>
      <c r="T37" s="48">
        <v>17</v>
      </c>
      <c r="U37" s="40">
        <v>22</v>
      </c>
      <c r="V37" s="26">
        <v>13.8</v>
      </c>
      <c r="W37" s="26">
        <v>21</v>
      </c>
      <c r="X37" s="26">
        <v>22.8</v>
      </c>
      <c r="Y37" s="26">
        <v>21.3</v>
      </c>
      <c r="Z37" s="26">
        <v>15.4</v>
      </c>
      <c r="AC37" s="25">
        <v>3</v>
      </c>
      <c r="AD37" s="26">
        <v>3</v>
      </c>
      <c r="AE37" s="26">
        <v>4</v>
      </c>
      <c r="AF37" s="26">
        <v>4</v>
      </c>
      <c r="AG37" s="26">
        <v>6</v>
      </c>
      <c r="AH37" s="26">
        <v>5</v>
      </c>
      <c r="AI37" s="26">
        <v>4</v>
      </c>
      <c r="AL37" s="25">
        <v>10.56</v>
      </c>
      <c r="AM37" s="26">
        <v>10.17</v>
      </c>
      <c r="AN37" s="26">
        <v>13.14</v>
      </c>
      <c r="AO37" s="26">
        <v>11.1</v>
      </c>
      <c r="AP37" s="26">
        <v>24.2</v>
      </c>
      <c r="AQ37" s="26">
        <v>20.6</v>
      </c>
      <c r="AR37" s="26">
        <v>10.9</v>
      </c>
      <c r="AU37" s="25">
        <v>11.19</v>
      </c>
      <c r="AV37" s="26">
        <v>22.2</v>
      </c>
      <c r="AW37" s="26">
        <v>19.100000000000001</v>
      </c>
      <c r="AX37" s="26">
        <v>22.5</v>
      </c>
      <c r="AY37" s="26">
        <v>9.5</v>
      </c>
      <c r="AZ37" s="26">
        <v>25.7</v>
      </c>
      <c r="BA37" s="26">
        <v>7</v>
      </c>
      <c r="BD37" s="25">
        <v>9.4</v>
      </c>
      <c r="BE37" s="26">
        <v>12.4</v>
      </c>
      <c r="BF37" s="26">
        <v>6.6</v>
      </c>
      <c r="BG37" s="26">
        <v>6.8</v>
      </c>
      <c r="BH37" s="26">
        <v>10.3</v>
      </c>
      <c r="BI37" s="26">
        <v>11.1</v>
      </c>
      <c r="BJ37" s="26">
        <v>6.3</v>
      </c>
      <c r="BM37" s="25">
        <v>1.25</v>
      </c>
      <c r="BN37" s="26">
        <v>2.5</v>
      </c>
      <c r="BO37" s="26">
        <v>1.4</v>
      </c>
      <c r="BP37" s="26">
        <v>1.4</v>
      </c>
      <c r="BQ37" s="26">
        <v>2.5</v>
      </c>
      <c r="BR37" s="26">
        <v>3.3</v>
      </c>
      <c r="BS37" s="26">
        <v>0.57999999999999996</v>
      </c>
    </row>
    <row r="38" spans="1:72" x14ac:dyDescent="0.3">
      <c r="A38" t="s">
        <v>195</v>
      </c>
      <c r="B38" s="48">
        <v>21</v>
      </c>
      <c r="C38" s="40">
        <v>18</v>
      </c>
      <c r="D38" s="40">
        <v>24</v>
      </c>
      <c r="E38" s="40">
        <v>20</v>
      </c>
      <c r="F38" s="40">
        <v>25</v>
      </c>
      <c r="G38" s="36">
        <v>23</v>
      </c>
      <c r="H38" s="40">
        <v>21</v>
      </c>
      <c r="I38" s="49"/>
      <c r="J38" s="48"/>
      <c r="K38" s="48">
        <v>10</v>
      </c>
      <c r="L38" s="40">
        <v>19</v>
      </c>
      <c r="M38" s="40">
        <v>15</v>
      </c>
      <c r="N38" s="40">
        <v>14</v>
      </c>
      <c r="O38" s="40">
        <v>13.5</v>
      </c>
      <c r="P38" s="40">
        <v>13</v>
      </c>
      <c r="Q38" s="40">
        <v>10.5</v>
      </c>
      <c r="R38" s="49"/>
      <c r="S38" s="48"/>
      <c r="T38" s="48">
        <v>23</v>
      </c>
      <c r="U38" s="40">
        <v>41</v>
      </c>
      <c r="V38" s="26">
        <v>29</v>
      </c>
      <c r="W38" s="26">
        <v>36</v>
      </c>
      <c r="X38" s="26">
        <v>29</v>
      </c>
      <c r="Y38" s="26">
        <v>21</v>
      </c>
      <c r="Z38" s="26">
        <v>10</v>
      </c>
      <c r="AC38" s="25">
        <v>5</v>
      </c>
      <c r="AD38" s="26">
        <v>10</v>
      </c>
      <c r="AE38" s="26">
        <v>6</v>
      </c>
      <c r="AF38" s="26">
        <v>11</v>
      </c>
      <c r="AG38" s="26">
        <v>6</v>
      </c>
      <c r="AH38" s="26">
        <v>6</v>
      </c>
      <c r="AI38" s="26">
        <v>5</v>
      </c>
      <c r="AL38" s="25">
        <v>10.5</v>
      </c>
      <c r="AM38" s="26">
        <v>59.4</v>
      </c>
      <c r="AN38" s="26">
        <v>30.7</v>
      </c>
      <c r="AO38" s="26">
        <v>50.1</v>
      </c>
      <c r="AP38" s="26">
        <v>20.9</v>
      </c>
      <c r="AQ38" s="26">
        <v>21.1</v>
      </c>
      <c r="AR38" s="26">
        <v>7.1</v>
      </c>
      <c r="AU38" s="25">
        <v>0.6</v>
      </c>
      <c r="AV38" s="26">
        <v>22.3</v>
      </c>
      <c r="AW38" s="26">
        <v>5</v>
      </c>
      <c r="AX38" s="26">
        <v>20.2</v>
      </c>
      <c r="AY38" s="26">
        <v>17.3</v>
      </c>
      <c r="AZ38" s="26">
        <v>10.6</v>
      </c>
      <c r="BA38" s="26">
        <v>5.0999999999999996</v>
      </c>
      <c r="BD38" s="25">
        <v>6.3</v>
      </c>
      <c r="BE38" s="26">
        <v>14.8</v>
      </c>
      <c r="BF38" s="26">
        <v>10.199999999999999</v>
      </c>
      <c r="BG38" s="26">
        <v>8.3000000000000007</v>
      </c>
      <c r="BH38" s="26">
        <v>6.9</v>
      </c>
      <c r="BI38" s="26">
        <v>7.2</v>
      </c>
      <c r="BJ38" s="26">
        <v>3.4</v>
      </c>
      <c r="BM38" s="25">
        <v>1.5</v>
      </c>
      <c r="BN38" s="26">
        <v>7.8</v>
      </c>
      <c r="BO38" s="26">
        <v>2.9</v>
      </c>
      <c r="BP38" s="26">
        <v>5.9</v>
      </c>
      <c r="BQ38" s="26">
        <v>2.4</v>
      </c>
      <c r="BR38" s="26">
        <v>3.7</v>
      </c>
      <c r="BS38" s="26">
        <v>1</v>
      </c>
    </row>
    <row r="39" spans="1:72" x14ac:dyDescent="0.3">
      <c r="A39" t="s">
        <v>196</v>
      </c>
      <c r="B39" s="48">
        <v>23</v>
      </c>
      <c r="C39" s="40">
        <v>24</v>
      </c>
      <c r="D39" s="40">
        <v>26</v>
      </c>
      <c r="E39" s="40">
        <v>27</v>
      </c>
      <c r="F39" s="40">
        <v>17</v>
      </c>
      <c r="G39" s="36">
        <v>23</v>
      </c>
      <c r="H39" s="40">
        <v>23</v>
      </c>
      <c r="I39" s="49"/>
      <c r="J39" s="48"/>
      <c r="K39" s="48">
        <v>13</v>
      </c>
      <c r="L39" s="40">
        <v>9</v>
      </c>
      <c r="M39" s="40">
        <v>10</v>
      </c>
      <c r="N39" s="40">
        <v>16</v>
      </c>
      <c r="O39" s="40">
        <v>6</v>
      </c>
      <c r="P39" s="40">
        <v>10</v>
      </c>
      <c r="Q39" s="40">
        <v>15</v>
      </c>
      <c r="R39" s="49"/>
      <c r="S39" s="48"/>
      <c r="T39" s="48">
        <v>22</v>
      </c>
      <c r="U39" s="40">
        <v>17</v>
      </c>
      <c r="V39" s="26">
        <v>11</v>
      </c>
      <c r="W39" s="26">
        <v>22</v>
      </c>
      <c r="X39" s="26">
        <v>16</v>
      </c>
      <c r="Y39" s="26">
        <v>15</v>
      </c>
      <c r="Z39" s="26">
        <v>17</v>
      </c>
      <c r="AC39" s="25">
        <v>4</v>
      </c>
      <c r="AD39" s="26">
        <v>7</v>
      </c>
      <c r="AE39" s="26">
        <v>9</v>
      </c>
      <c r="AF39" s="26">
        <v>13</v>
      </c>
      <c r="AG39" s="26">
        <v>11</v>
      </c>
      <c r="AH39" s="26">
        <v>10</v>
      </c>
      <c r="AI39" s="26">
        <v>7</v>
      </c>
      <c r="AL39" s="25">
        <v>6.3</v>
      </c>
      <c r="AM39" s="26">
        <v>14.9</v>
      </c>
      <c r="AN39" s="26">
        <v>29.2</v>
      </c>
      <c r="AO39" s="26">
        <v>52.8</v>
      </c>
      <c r="AP39" s="26">
        <v>40.1</v>
      </c>
      <c r="AQ39" s="26">
        <v>36</v>
      </c>
      <c r="AR39" s="26">
        <v>11.6</v>
      </c>
      <c r="AU39" s="25">
        <v>14.1</v>
      </c>
      <c r="AV39" s="26">
        <v>16.899999999999999</v>
      </c>
      <c r="AW39" s="26">
        <v>16.600000000000001</v>
      </c>
      <c r="AX39" s="26">
        <v>27.1</v>
      </c>
      <c r="AY39" s="26">
        <v>10.4</v>
      </c>
      <c r="AZ39" s="26">
        <v>24.5</v>
      </c>
      <c r="BA39" s="26">
        <v>10.4</v>
      </c>
      <c r="BD39" s="25">
        <v>4.3</v>
      </c>
      <c r="BE39" s="26">
        <v>7.8</v>
      </c>
      <c r="BF39" s="26">
        <v>10.6</v>
      </c>
      <c r="BG39" s="26">
        <v>7.7</v>
      </c>
      <c r="BH39" s="26">
        <v>10.8</v>
      </c>
      <c r="BI39" s="26">
        <v>10.3</v>
      </c>
      <c r="BJ39" s="26">
        <v>11.2</v>
      </c>
      <c r="BM39" s="25">
        <v>0.8</v>
      </c>
      <c r="BN39" s="26">
        <v>1.6</v>
      </c>
      <c r="BO39" s="26">
        <v>2.2999999999999998</v>
      </c>
      <c r="BP39" s="26">
        <v>1.9</v>
      </c>
      <c r="BQ39" s="26">
        <v>1.3</v>
      </c>
      <c r="BR39" s="26">
        <v>2.2999999999999998</v>
      </c>
      <c r="BS39" s="26">
        <v>1.7</v>
      </c>
    </row>
    <row r="40" spans="1:72" x14ac:dyDescent="0.3">
      <c r="A40" t="s">
        <v>67</v>
      </c>
      <c r="B40" s="48">
        <v>20.5</v>
      </c>
      <c r="C40" s="40">
        <v>17</v>
      </c>
      <c r="D40" s="40">
        <v>16</v>
      </c>
      <c r="E40" s="40">
        <v>18</v>
      </c>
      <c r="F40" s="40">
        <v>13.5</v>
      </c>
      <c r="G40" s="36"/>
      <c r="H40" s="40"/>
      <c r="I40" s="49"/>
      <c r="J40" s="48"/>
      <c r="K40" s="48">
        <v>8</v>
      </c>
      <c r="L40" s="40">
        <v>8</v>
      </c>
      <c r="M40" s="40">
        <v>2</v>
      </c>
      <c r="N40" s="40">
        <v>10</v>
      </c>
      <c r="O40" s="40">
        <v>5</v>
      </c>
      <c r="P40" s="40"/>
      <c r="Q40" s="40"/>
      <c r="R40" s="49"/>
      <c r="S40" s="48"/>
      <c r="T40" s="48">
        <v>15</v>
      </c>
      <c r="U40" s="40">
        <v>15</v>
      </c>
      <c r="V40" s="26">
        <v>7</v>
      </c>
      <c r="W40" s="26">
        <v>17</v>
      </c>
      <c r="X40" s="26">
        <v>21</v>
      </c>
      <c r="AC40" s="25">
        <v>22</v>
      </c>
      <c r="AD40" s="26">
        <v>15</v>
      </c>
      <c r="AE40" s="26">
        <v>11</v>
      </c>
      <c r="AF40" s="26">
        <v>18</v>
      </c>
      <c r="AG40" s="26">
        <v>21</v>
      </c>
      <c r="AL40" s="25">
        <v>23.49</v>
      </c>
      <c r="AM40" s="26">
        <v>18.5</v>
      </c>
      <c r="AN40" s="26">
        <v>13.27</v>
      </c>
      <c r="AO40" s="26">
        <v>34.4</v>
      </c>
      <c r="AP40" s="26">
        <v>47.2</v>
      </c>
      <c r="AU40" s="25">
        <v>8.6199999999999992</v>
      </c>
      <c r="AV40" s="26">
        <v>8.4</v>
      </c>
      <c r="AW40" s="26">
        <v>1.04</v>
      </c>
      <c r="AX40" s="26">
        <v>8.6</v>
      </c>
      <c r="AY40" s="26">
        <v>2.66</v>
      </c>
      <c r="BD40" s="25">
        <v>1.98</v>
      </c>
      <c r="BE40" s="26">
        <v>2.5099999999999998</v>
      </c>
      <c r="BF40" s="26">
        <v>1.1299999999999999</v>
      </c>
      <c r="BG40" s="26">
        <v>2.08</v>
      </c>
      <c r="BH40" s="26">
        <v>1.75</v>
      </c>
      <c r="BM40" s="25">
        <v>0.86</v>
      </c>
      <c r="BN40" s="26">
        <v>0.4</v>
      </c>
      <c r="BO40" s="26">
        <v>0.26</v>
      </c>
      <c r="BP40" s="26">
        <v>1.2</v>
      </c>
      <c r="BQ40" s="26">
        <v>1.42</v>
      </c>
    </row>
    <row r="41" spans="1:72" x14ac:dyDescent="0.3">
      <c r="A41" t="s">
        <v>197</v>
      </c>
      <c r="B41" s="48">
        <v>15.5</v>
      </c>
      <c r="C41" s="40">
        <v>15</v>
      </c>
      <c r="D41" s="40">
        <v>17.5</v>
      </c>
      <c r="E41" s="40">
        <v>17.600000000000001</v>
      </c>
      <c r="F41" s="40">
        <v>17</v>
      </c>
      <c r="G41" s="36">
        <v>18</v>
      </c>
      <c r="H41" s="40">
        <v>20</v>
      </c>
      <c r="I41" s="49"/>
      <c r="J41" s="48"/>
      <c r="K41" s="48">
        <v>5.7</v>
      </c>
      <c r="L41" s="40">
        <v>7</v>
      </c>
      <c r="M41" s="40">
        <v>10.4</v>
      </c>
      <c r="N41" s="40">
        <v>11</v>
      </c>
      <c r="O41" s="40">
        <v>10</v>
      </c>
      <c r="P41" s="40">
        <v>9</v>
      </c>
      <c r="Q41" s="40">
        <v>12</v>
      </c>
      <c r="R41" s="49"/>
      <c r="S41" s="48"/>
      <c r="T41" s="48">
        <v>10.3</v>
      </c>
      <c r="U41" s="40">
        <v>17</v>
      </c>
      <c r="V41" s="26">
        <v>27</v>
      </c>
      <c r="W41" s="26">
        <v>27</v>
      </c>
      <c r="X41" s="26">
        <v>24.5</v>
      </c>
      <c r="Y41" s="26">
        <v>18.5</v>
      </c>
      <c r="Z41" s="26">
        <v>27.5</v>
      </c>
      <c r="AC41" s="25">
        <v>7</v>
      </c>
      <c r="AD41" s="26">
        <v>15</v>
      </c>
      <c r="AE41" s="26">
        <v>12</v>
      </c>
      <c r="AF41" s="26">
        <v>14</v>
      </c>
      <c r="AG41" s="26">
        <v>14</v>
      </c>
      <c r="AH41" s="26">
        <v>9</v>
      </c>
      <c r="AI41" s="26">
        <v>19</v>
      </c>
      <c r="AL41" s="25">
        <v>9.98</v>
      </c>
      <c r="AM41" s="26">
        <v>21.39</v>
      </c>
      <c r="AN41" s="26">
        <v>38.840000000000003</v>
      </c>
      <c r="AO41" s="26">
        <v>49.95</v>
      </c>
      <c r="AP41" s="26">
        <v>23</v>
      </c>
      <c r="AQ41" s="26">
        <v>23.35</v>
      </c>
      <c r="AR41" s="26">
        <v>72.900000000000006</v>
      </c>
      <c r="AU41" s="25">
        <v>3.89</v>
      </c>
      <c r="AW41" s="26">
        <v>9.43</v>
      </c>
      <c r="AX41" s="26">
        <v>6.88</v>
      </c>
      <c r="AY41" s="26">
        <v>3.19</v>
      </c>
      <c r="AZ41" s="26">
        <v>9.93</v>
      </c>
      <c r="BA41" s="26">
        <v>1.3</v>
      </c>
      <c r="BD41" s="25">
        <v>0.95</v>
      </c>
      <c r="BE41" s="26">
        <v>2.1800000000000002</v>
      </c>
      <c r="BF41" s="26">
        <v>6.15</v>
      </c>
      <c r="BG41" s="26">
        <v>3.3</v>
      </c>
      <c r="BH41" s="26">
        <v>1.8</v>
      </c>
      <c r="BI41" s="26">
        <v>0.98</v>
      </c>
      <c r="BJ41" s="26">
        <v>5.79</v>
      </c>
      <c r="BM41" s="25">
        <v>0.81</v>
      </c>
      <c r="BN41" s="26">
        <v>1.26</v>
      </c>
      <c r="BO41" s="26">
        <v>4.38</v>
      </c>
      <c r="BP41" s="26">
        <v>2.62</v>
      </c>
      <c r="BQ41" s="26">
        <v>1.65</v>
      </c>
      <c r="BR41" s="26">
        <v>1.8</v>
      </c>
      <c r="BS41" s="26">
        <v>5.0199999999999996</v>
      </c>
    </row>
    <row r="42" spans="1:72" x14ac:dyDescent="0.3">
      <c r="A42" t="s">
        <v>198</v>
      </c>
      <c r="B42" s="48">
        <v>25</v>
      </c>
      <c r="C42" s="40">
        <v>26</v>
      </c>
      <c r="D42" s="40">
        <v>26</v>
      </c>
      <c r="E42" s="40">
        <v>22</v>
      </c>
      <c r="F42" s="40">
        <v>25.5</v>
      </c>
      <c r="G42" s="36">
        <v>22</v>
      </c>
      <c r="H42" s="40"/>
      <c r="I42" s="49"/>
      <c r="J42" s="48"/>
      <c r="K42" s="48">
        <v>10</v>
      </c>
      <c r="L42" s="40">
        <v>13.2</v>
      </c>
      <c r="M42" s="40">
        <v>12</v>
      </c>
      <c r="N42" s="40">
        <v>14</v>
      </c>
      <c r="O42" s="40">
        <v>13</v>
      </c>
      <c r="P42" s="40">
        <v>13</v>
      </c>
      <c r="Q42" s="40"/>
      <c r="R42" s="49"/>
      <c r="S42" s="48"/>
      <c r="T42" s="48">
        <v>13.3</v>
      </c>
      <c r="U42" s="40">
        <v>12</v>
      </c>
      <c r="V42" s="26">
        <v>24</v>
      </c>
      <c r="W42" s="26">
        <v>9</v>
      </c>
      <c r="X42" s="26">
        <v>11</v>
      </c>
      <c r="Y42" s="26">
        <v>7</v>
      </c>
      <c r="AC42" s="25">
        <v>11</v>
      </c>
      <c r="AD42" s="26">
        <v>9</v>
      </c>
      <c r="AE42" s="26">
        <v>13</v>
      </c>
      <c r="AF42" s="26">
        <v>9</v>
      </c>
      <c r="AG42" s="26">
        <v>10</v>
      </c>
      <c r="AH42" s="26">
        <v>10</v>
      </c>
      <c r="AL42" s="25">
        <v>21.36</v>
      </c>
      <c r="AM42" s="26">
        <v>33.32</v>
      </c>
      <c r="AN42" s="26">
        <v>43.76</v>
      </c>
      <c r="AO42" s="26">
        <v>4.3600000000000003</v>
      </c>
      <c r="AP42" s="26">
        <v>38.83</v>
      </c>
      <c r="AQ42" s="26">
        <v>28.6</v>
      </c>
      <c r="AU42" s="25">
        <v>16.47</v>
      </c>
      <c r="AV42" s="26">
        <v>42.8</v>
      </c>
      <c r="AW42" s="26">
        <v>2.97</v>
      </c>
      <c r="AX42" s="26">
        <v>54.94</v>
      </c>
      <c r="AY42" s="26">
        <v>8.76</v>
      </c>
      <c r="AZ42" s="26">
        <v>32.53</v>
      </c>
      <c r="BD42" s="25">
        <v>8.4</v>
      </c>
      <c r="BE42" s="26">
        <v>10.55</v>
      </c>
      <c r="BF42" s="26">
        <v>5.9</v>
      </c>
      <c r="BG42" s="26">
        <v>1.32</v>
      </c>
      <c r="BH42" s="26">
        <v>5.85</v>
      </c>
      <c r="BI42" s="26">
        <v>9.85</v>
      </c>
      <c r="BM42" s="25">
        <v>0.9</v>
      </c>
      <c r="BN42" s="26">
        <v>2.17</v>
      </c>
      <c r="BO42" s="26">
        <v>1.1499999999999999</v>
      </c>
      <c r="BP42" s="26">
        <v>3.13</v>
      </c>
      <c r="BQ42" s="26">
        <v>1.62</v>
      </c>
      <c r="BR42" s="26">
        <v>1.31</v>
      </c>
    </row>
    <row r="43" spans="1:72" x14ac:dyDescent="0.3">
      <c r="A43" t="s">
        <v>199</v>
      </c>
      <c r="B43" s="48">
        <v>25</v>
      </c>
      <c r="C43" s="40">
        <v>23</v>
      </c>
      <c r="D43" s="40">
        <v>30</v>
      </c>
      <c r="E43" s="40">
        <v>26</v>
      </c>
      <c r="F43" s="40">
        <v>30.5</v>
      </c>
      <c r="G43" s="36">
        <v>27.4</v>
      </c>
      <c r="H43" s="40"/>
      <c r="I43" s="49"/>
      <c r="J43" s="48"/>
      <c r="K43" s="48">
        <v>11</v>
      </c>
      <c r="L43" s="40">
        <v>11.5</v>
      </c>
      <c r="M43" s="40">
        <v>18</v>
      </c>
      <c r="N43" s="40">
        <v>14.5</v>
      </c>
      <c r="O43" s="40">
        <v>16</v>
      </c>
      <c r="P43" s="40">
        <v>11</v>
      </c>
      <c r="Q43" s="40"/>
      <c r="R43" s="49"/>
      <c r="S43" s="48"/>
      <c r="T43" s="48">
        <v>20</v>
      </c>
      <c r="U43" s="40">
        <v>31</v>
      </c>
      <c r="V43" s="26">
        <v>31.4</v>
      </c>
      <c r="W43" s="26">
        <v>20</v>
      </c>
      <c r="X43" s="26">
        <v>13</v>
      </c>
      <c r="Y43" s="26">
        <v>17</v>
      </c>
      <c r="AC43" s="25">
        <v>13</v>
      </c>
      <c r="AD43" s="26">
        <v>11</v>
      </c>
      <c r="AE43" s="26">
        <v>22</v>
      </c>
      <c r="AF43" s="26">
        <v>22</v>
      </c>
      <c r="AG43" s="26">
        <v>13</v>
      </c>
      <c r="AH43" s="26">
        <v>23</v>
      </c>
      <c r="AL43" s="25">
        <v>47.2</v>
      </c>
      <c r="AM43" s="26">
        <v>39.14</v>
      </c>
      <c r="AN43" s="26">
        <v>118.13</v>
      </c>
      <c r="AO43" s="26">
        <v>105.66</v>
      </c>
      <c r="AP43" s="26">
        <v>49.99</v>
      </c>
      <c r="AQ43" s="26">
        <v>71.89</v>
      </c>
      <c r="AU43" s="25">
        <v>17.260000000000002</v>
      </c>
      <c r="AV43" s="26">
        <v>13.87</v>
      </c>
      <c r="AW43" s="26">
        <v>5.48</v>
      </c>
      <c r="AX43" s="26">
        <v>9.91</v>
      </c>
      <c r="AY43" s="26">
        <v>17.53</v>
      </c>
      <c r="AZ43" s="26">
        <v>15.71</v>
      </c>
      <c r="BD43" s="25">
        <v>5.92</v>
      </c>
      <c r="BE43" s="26">
        <v>7.32</v>
      </c>
      <c r="BF43" s="26">
        <v>8.2899999999999991</v>
      </c>
      <c r="BG43" s="26">
        <v>7.8</v>
      </c>
      <c r="BH43" s="26">
        <v>8.4499999999999993</v>
      </c>
      <c r="BI43" s="26">
        <v>10.84</v>
      </c>
      <c r="BM43" s="25">
        <v>2.5</v>
      </c>
      <c r="BN43" s="26">
        <v>2.4700000000000002</v>
      </c>
      <c r="BO43" s="26">
        <v>4.4000000000000004</v>
      </c>
      <c r="BP43" s="26">
        <v>2.94</v>
      </c>
      <c r="BQ43" s="26">
        <v>2.6</v>
      </c>
      <c r="BR43" s="26">
        <v>3.14</v>
      </c>
    </row>
    <row r="44" spans="1:72" x14ac:dyDescent="0.3">
      <c r="A44" t="s">
        <v>200</v>
      </c>
      <c r="B44" s="47">
        <v>25</v>
      </c>
      <c r="C44" s="36">
        <v>23.2</v>
      </c>
      <c r="D44" s="36">
        <v>23</v>
      </c>
      <c r="E44" s="36">
        <v>20</v>
      </c>
      <c r="F44" s="36">
        <v>25</v>
      </c>
      <c r="G44" s="36">
        <v>23.5</v>
      </c>
      <c r="H44" s="40"/>
      <c r="I44" s="49"/>
      <c r="J44" s="48"/>
      <c r="K44" s="48">
        <v>12</v>
      </c>
      <c r="L44" s="40">
        <v>14.9</v>
      </c>
      <c r="M44" s="40">
        <v>11</v>
      </c>
      <c r="N44" s="40">
        <v>11</v>
      </c>
      <c r="O44" s="40">
        <v>14</v>
      </c>
      <c r="P44" s="40">
        <v>13</v>
      </c>
      <c r="Q44" s="40"/>
      <c r="R44" s="49"/>
      <c r="S44" s="48"/>
      <c r="T44" s="48">
        <v>21</v>
      </c>
      <c r="U44" s="40">
        <v>26</v>
      </c>
      <c r="V44" s="26">
        <v>25</v>
      </c>
      <c r="W44" s="26">
        <v>18</v>
      </c>
      <c r="X44" s="26">
        <v>18</v>
      </c>
      <c r="Y44" s="26">
        <v>26</v>
      </c>
      <c r="AC44" s="25">
        <v>16</v>
      </c>
      <c r="AD44" s="26">
        <v>20</v>
      </c>
      <c r="AE44" s="26">
        <v>9</v>
      </c>
      <c r="AF44" s="26">
        <v>19</v>
      </c>
      <c r="AG44" s="26">
        <v>18</v>
      </c>
      <c r="AH44" s="26">
        <v>17</v>
      </c>
      <c r="AL44" s="25">
        <v>37.869999999999997</v>
      </c>
      <c r="AM44" s="26">
        <v>59.51</v>
      </c>
      <c r="AN44" s="26">
        <v>13.39</v>
      </c>
      <c r="AO44" s="26">
        <v>39.71</v>
      </c>
      <c r="AP44" s="26">
        <v>48.9</v>
      </c>
      <c r="AQ44" s="26">
        <v>41.54</v>
      </c>
      <c r="AV44" s="26">
        <v>20.93</v>
      </c>
      <c r="AW44" s="26">
        <v>20.63</v>
      </c>
      <c r="AX44" s="26">
        <v>5.79</v>
      </c>
      <c r="AY44" s="26">
        <v>11.77</v>
      </c>
      <c r="AZ44" s="26">
        <v>7.41</v>
      </c>
      <c r="BD44" s="25">
        <v>2.16</v>
      </c>
      <c r="BE44" s="26">
        <v>6.42</v>
      </c>
      <c r="BF44" s="26">
        <v>2.84</v>
      </c>
      <c r="BG44" s="26">
        <v>1.61</v>
      </c>
      <c r="BH44" s="26">
        <v>4.74</v>
      </c>
      <c r="BI44" s="26">
        <v>2.98</v>
      </c>
      <c r="BM44" s="25">
        <v>1.56</v>
      </c>
      <c r="BN44" s="26">
        <v>3.96</v>
      </c>
      <c r="BO44" s="26">
        <v>1.38</v>
      </c>
      <c r="BP44" s="26">
        <v>1.75</v>
      </c>
      <c r="BQ44" s="26">
        <v>1.45</v>
      </c>
      <c r="BR44" s="26">
        <v>1.36</v>
      </c>
    </row>
    <row r="45" spans="1:72" x14ac:dyDescent="0.3">
      <c r="A45" t="s">
        <v>201</v>
      </c>
      <c r="B45" s="47">
        <v>22.5</v>
      </c>
      <c r="C45" s="36">
        <v>21</v>
      </c>
      <c r="D45" s="36">
        <v>29</v>
      </c>
      <c r="E45" s="36">
        <v>28</v>
      </c>
      <c r="F45" s="36">
        <v>25</v>
      </c>
      <c r="G45" s="36">
        <v>29</v>
      </c>
      <c r="H45" s="36">
        <v>26</v>
      </c>
      <c r="I45" s="50"/>
      <c r="J45" s="47"/>
      <c r="K45" s="47">
        <v>14</v>
      </c>
      <c r="L45" s="36">
        <v>18</v>
      </c>
      <c r="M45" s="36">
        <v>18</v>
      </c>
      <c r="N45" s="36">
        <v>18</v>
      </c>
      <c r="O45" s="36">
        <v>15</v>
      </c>
      <c r="P45" s="36">
        <v>18</v>
      </c>
      <c r="Q45" s="36">
        <v>14.5</v>
      </c>
      <c r="R45" s="50"/>
      <c r="S45" s="47"/>
      <c r="T45" s="47">
        <v>25</v>
      </c>
      <c r="U45" s="36">
        <v>33</v>
      </c>
      <c r="V45" s="26">
        <v>28</v>
      </c>
      <c r="W45" s="26">
        <v>25</v>
      </c>
      <c r="X45" s="26">
        <v>25</v>
      </c>
      <c r="Y45" s="26">
        <v>32</v>
      </c>
      <c r="Z45" s="26">
        <v>31</v>
      </c>
      <c r="AC45" s="25">
        <v>5</v>
      </c>
      <c r="AD45" s="26">
        <v>12</v>
      </c>
      <c r="AE45" s="26">
        <v>9</v>
      </c>
      <c r="AF45" s="26">
        <v>8</v>
      </c>
      <c r="AG45" s="26">
        <v>9</v>
      </c>
      <c r="AH45" s="26">
        <v>11</v>
      </c>
      <c r="AI45" s="26">
        <v>13</v>
      </c>
      <c r="AL45" s="25">
        <v>14.3</v>
      </c>
      <c r="AM45" s="26">
        <v>73</v>
      </c>
      <c r="AN45" s="26">
        <v>39.9</v>
      </c>
      <c r="AO45" s="26">
        <v>50.48</v>
      </c>
      <c r="AP45" s="26">
        <v>44.14</v>
      </c>
      <c r="AQ45" s="26">
        <v>66.03</v>
      </c>
      <c r="AR45" s="26">
        <v>56.75</v>
      </c>
      <c r="AU45" s="25">
        <v>20.7</v>
      </c>
      <c r="AV45" s="26">
        <v>5.5</v>
      </c>
      <c r="AW45" s="26">
        <v>6.09</v>
      </c>
      <c r="AX45" s="26">
        <v>5.0999999999999996</v>
      </c>
      <c r="AY45" s="26">
        <v>1.34</v>
      </c>
      <c r="AZ45" s="26">
        <v>9.89</v>
      </c>
      <c r="BA45" s="26">
        <v>7.37</v>
      </c>
      <c r="BD45" s="25">
        <v>5.3</v>
      </c>
      <c r="BE45" s="26">
        <v>9.4</v>
      </c>
      <c r="BF45" s="26">
        <v>4.5999999999999996</v>
      </c>
      <c r="BG45" s="26">
        <v>3.5</v>
      </c>
      <c r="BH45" s="26">
        <v>6.96</v>
      </c>
      <c r="BI45" s="26">
        <v>7.21</v>
      </c>
      <c r="BJ45" s="26">
        <v>7.82</v>
      </c>
      <c r="BM45" s="25">
        <v>2.7</v>
      </c>
      <c r="BN45" s="26">
        <v>7.4</v>
      </c>
      <c r="BO45" s="26">
        <v>2.7</v>
      </c>
      <c r="BP45" s="26">
        <v>3.14</v>
      </c>
      <c r="BQ45" s="26">
        <v>3.18</v>
      </c>
      <c r="BR45" s="26">
        <v>4.21</v>
      </c>
      <c r="BS45" s="26">
        <v>3.34</v>
      </c>
    </row>
    <row r="46" spans="1:72" x14ac:dyDescent="0.3">
      <c r="A46" t="s">
        <v>202</v>
      </c>
      <c r="B46" s="47">
        <v>20</v>
      </c>
      <c r="C46" s="36">
        <v>23</v>
      </c>
      <c r="D46" s="36">
        <v>25</v>
      </c>
      <c r="E46" s="36">
        <v>25</v>
      </c>
      <c r="F46" s="36">
        <v>28</v>
      </c>
      <c r="G46" s="36">
        <v>24</v>
      </c>
      <c r="H46" s="36">
        <v>27.5</v>
      </c>
      <c r="I46" s="50"/>
      <c r="J46" s="47"/>
      <c r="K46" s="47">
        <v>5</v>
      </c>
      <c r="L46" s="36">
        <v>7</v>
      </c>
      <c r="M46" s="36">
        <v>6</v>
      </c>
      <c r="N46" s="36">
        <v>9</v>
      </c>
      <c r="O46" s="36">
        <v>4</v>
      </c>
      <c r="P46" s="36">
        <v>7.5</v>
      </c>
      <c r="Q46" s="36">
        <v>7</v>
      </c>
      <c r="R46" s="50"/>
      <c r="S46" s="47"/>
      <c r="T46" s="47">
        <v>12</v>
      </c>
      <c r="U46" s="36">
        <v>10</v>
      </c>
      <c r="V46" s="26">
        <v>6</v>
      </c>
      <c r="W46" s="26">
        <v>17</v>
      </c>
      <c r="X46" s="26">
        <v>17</v>
      </c>
      <c r="Y46" s="26">
        <v>21</v>
      </c>
      <c r="Z46" s="26">
        <v>18.5</v>
      </c>
      <c r="AC46" s="25">
        <v>7</v>
      </c>
      <c r="AD46" s="26">
        <v>12</v>
      </c>
      <c r="AE46" s="26">
        <v>16</v>
      </c>
      <c r="AF46" s="26">
        <v>14</v>
      </c>
      <c r="AG46" s="26">
        <v>15</v>
      </c>
      <c r="AH46" s="26">
        <v>17</v>
      </c>
      <c r="AI46" s="26">
        <v>18</v>
      </c>
      <c r="AL46" s="25">
        <v>8.5</v>
      </c>
      <c r="AM46" s="26">
        <v>27.6</v>
      </c>
      <c r="AN46" s="26">
        <v>48.52</v>
      </c>
      <c r="AO46" s="26">
        <v>38.1</v>
      </c>
      <c r="AP46" s="26">
        <v>26.7</v>
      </c>
      <c r="AQ46" s="26">
        <v>56.93</v>
      </c>
      <c r="AR46" s="26">
        <v>56</v>
      </c>
      <c r="AU46" s="25">
        <v>13.7</v>
      </c>
      <c r="AV46" s="26">
        <v>27</v>
      </c>
      <c r="AW46" s="26">
        <v>4.4400000000000004</v>
      </c>
      <c r="AX46" s="26">
        <v>7.2</v>
      </c>
      <c r="AY46" s="26">
        <v>26.4</v>
      </c>
      <c r="AZ46" s="26">
        <v>35.01</v>
      </c>
      <c r="BA46" s="26">
        <v>32.5</v>
      </c>
      <c r="BD46" s="25">
        <v>2.6</v>
      </c>
      <c r="BE46" s="26">
        <v>1.8</v>
      </c>
      <c r="BF46" s="26">
        <v>1.8</v>
      </c>
      <c r="BG46" s="26">
        <v>1.7</v>
      </c>
      <c r="BH46" s="26">
        <v>1.26</v>
      </c>
      <c r="BI46" s="26">
        <v>2.66</v>
      </c>
      <c r="BJ46" s="26">
        <v>2.96</v>
      </c>
      <c r="BM46" s="25">
        <v>0.3</v>
      </c>
      <c r="BN46" s="26">
        <v>0.7</v>
      </c>
      <c r="BO46" s="26">
        <v>1.3</v>
      </c>
      <c r="BP46" s="26">
        <v>1.6</v>
      </c>
      <c r="BQ46" s="26">
        <v>1</v>
      </c>
      <c r="BR46" s="26">
        <v>1.76</v>
      </c>
      <c r="BS46" s="26">
        <v>2</v>
      </c>
    </row>
    <row r="47" spans="1:72" x14ac:dyDescent="0.3">
      <c r="A47" t="s">
        <v>203</v>
      </c>
      <c r="B47" s="48">
        <v>11</v>
      </c>
      <c r="C47" s="40">
        <v>19</v>
      </c>
      <c r="D47" s="40">
        <v>19.5</v>
      </c>
      <c r="E47" s="40">
        <v>21</v>
      </c>
      <c r="F47" s="40">
        <v>15</v>
      </c>
      <c r="G47" s="36">
        <v>20.5</v>
      </c>
      <c r="H47" s="36">
        <v>16</v>
      </c>
      <c r="I47" s="50"/>
      <c r="J47" s="47"/>
      <c r="K47" s="47">
        <v>8</v>
      </c>
      <c r="L47" s="36">
        <v>11</v>
      </c>
      <c r="M47" s="36">
        <v>9.4</v>
      </c>
      <c r="N47" s="36">
        <v>10</v>
      </c>
      <c r="O47" s="36">
        <v>8.5</v>
      </c>
      <c r="P47" s="36">
        <v>12.5</v>
      </c>
      <c r="Q47" s="36">
        <v>7</v>
      </c>
      <c r="R47" s="50"/>
      <c r="S47" s="47"/>
      <c r="T47" s="47">
        <v>7</v>
      </c>
      <c r="U47" s="36">
        <v>6</v>
      </c>
      <c r="V47" s="26">
        <v>5</v>
      </c>
      <c r="W47" s="26">
        <v>7</v>
      </c>
      <c r="X47" s="26">
        <v>5</v>
      </c>
      <c r="Y47" s="26">
        <v>4.5</v>
      </c>
      <c r="Z47" s="26">
        <v>7</v>
      </c>
      <c r="AC47" s="25">
        <v>6</v>
      </c>
      <c r="AD47" s="26">
        <v>9</v>
      </c>
      <c r="AE47" s="26">
        <v>10</v>
      </c>
      <c r="AF47" s="26">
        <v>10</v>
      </c>
      <c r="AG47" s="26">
        <v>16</v>
      </c>
      <c r="AH47" s="26">
        <v>12</v>
      </c>
      <c r="AI47" s="26">
        <v>14</v>
      </c>
      <c r="AL47" s="25">
        <v>9.6999999999999993</v>
      </c>
      <c r="AM47" s="26">
        <v>25.7</v>
      </c>
      <c r="AN47" s="26">
        <v>26.61</v>
      </c>
      <c r="AO47" s="26">
        <v>27.31</v>
      </c>
      <c r="AP47" s="26">
        <v>31.37</v>
      </c>
      <c r="AQ47" s="26">
        <v>34.86</v>
      </c>
      <c r="AR47" s="26">
        <v>45.3</v>
      </c>
      <c r="AU47" s="25">
        <v>4.0999999999999996</v>
      </c>
      <c r="AV47" s="26">
        <v>4.3</v>
      </c>
      <c r="AW47" s="26">
        <v>3.51</v>
      </c>
      <c r="AX47" s="26">
        <v>1.2</v>
      </c>
      <c r="AY47" s="26">
        <v>1.1599999999999999</v>
      </c>
      <c r="AZ47" s="26">
        <v>1.5</v>
      </c>
      <c r="BA47" s="26">
        <v>4.34</v>
      </c>
      <c r="BD47" s="25">
        <v>1.7</v>
      </c>
      <c r="BE47" s="26">
        <v>7.9</v>
      </c>
      <c r="BF47" s="26">
        <v>1.8</v>
      </c>
      <c r="BG47" s="26">
        <v>1.4</v>
      </c>
      <c r="BH47" s="26">
        <v>3.45</v>
      </c>
      <c r="BI47" s="26">
        <v>2.2999999999999998</v>
      </c>
      <c r="BJ47" s="26">
        <v>2.9</v>
      </c>
      <c r="BM47" s="25">
        <v>0.3</v>
      </c>
      <c r="BN47" s="26">
        <v>0.8</v>
      </c>
      <c r="BO47" s="26">
        <v>0.8</v>
      </c>
      <c r="BP47" s="26">
        <v>0.8</v>
      </c>
      <c r="BQ47" s="26">
        <v>0.9</v>
      </c>
      <c r="BR47" s="26">
        <v>0.8</v>
      </c>
      <c r="BS47" s="26">
        <v>1.5</v>
      </c>
    </row>
    <row r="48" spans="1:72" x14ac:dyDescent="0.3">
      <c r="A48" t="s">
        <v>204</v>
      </c>
      <c r="B48" s="48">
        <v>25.5</v>
      </c>
      <c r="C48" s="40">
        <v>31</v>
      </c>
      <c r="D48" s="40">
        <v>31</v>
      </c>
      <c r="E48" s="40">
        <v>26</v>
      </c>
      <c r="F48" s="40">
        <v>19</v>
      </c>
      <c r="G48" s="36">
        <v>31</v>
      </c>
      <c r="H48" s="40">
        <v>24</v>
      </c>
      <c r="I48" s="49"/>
      <c r="J48" s="48"/>
      <c r="K48" s="48">
        <v>11</v>
      </c>
      <c r="L48" s="40">
        <v>15</v>
      </c>
      <c r="M48" s="40">
        <v>12</v>
      </c>
      <c r="N48" s="40">
        <v>11</v>
      </c>
      <c r="O48" s="40">
        <v>9</v>
      </c>
      <c r="P48" s="40">
        <v>12.5</v>
      </c>
      <c r="Q48" s="40">
        <v>6</v>
      </c>
      <c r="R48" s="49"/>
      <c r="S48" s="48"/>
      <c r="T48" s="48">
        <v>19</v>
      </c>
      <c r="U48" s="40">
        <v>23</v>
      </c>
      <c r="V48" s="26">
        <v>24</v>
      </c>
      <c r="W48" s="26">
        <v>24</v>
      </c>
      <c r="X48" s="26">
        <v>12</v>
      </c>
      <c r="Y48" s="26">
        <v>16</v>
      </c>
      <c r="Z48" s="26">
        <v>7</v>
      </c>
      <c r="AC48" s="25">
        <v>18</v>
      </c>
      <c r="AD48" s="26">
        <v>18</v>
      </c>
      <c r="AE48" s="26">
        <v>22</v>
      </c>
      <c r="AF48" s="26">
        <v>16</v>
      </c>
      <c r="AG48" s="26">
        <v>13</v>
      </c>
      <c r="AH48" s="26">
        <v>17</v>
      </c>
      <c r="AI48" s="26">
        <v>14</v>
      </c>
      <c r="AL48" s="25">
        <v>87.3</v>
      </c>
      <c r="AM48" s="26">
        <v>98</v>
      </c>
      <c r="AN48" s="26">
        <v>102.9</v>
      </c>
      <c r="AO48" s="26">
        <v>61.05</v>
      </c>
      <c r="AP48" s="26">
        <v>37.14</v>
      </c>
      <c r="AQ48" s="26">
        <v>83.73</v>
      </c>
      <c r="AR48" s="26">
        <v>27.14</v>
      </c>
      <c r="AU48" s="25">
        <v>17.3</v>
      </c>
      <c r="AV48" s="26">
        <v>29.8</v>
      </c>
      <c r="AW48" s="26">
        <v>5.5</v>
      </c>
      <c r="AX48" s="26">
        <v>2.0099999999999998</v>
      </c>
      <c r="AY48" s="26">
        <v>10.86</v>
      </c>
      <c r="AZ48" s="26">
        <v>13</v>
      </c>
      <c r="BA48" s="26">
        <v>9</v>
      </c>
      <c r="BD48" s="25">
        <v>2.2000000000000002</v>
      </c>
      <c r="BE48" s="26">
        <v>7.4</v>
      </c>
      <c r="BF48" s="26">
        <v>3.4</v>
      </c>
      <c r="BG48" s="26">
        <v>3.2</v>
      </c>
      <c r="BH48" s="26">
        <v>4.8</v>
      </c>
      <c r="BI48" s="26">
        <v>6.8</v>
      </c>
      <c r="BJ48" s="26">
        <v>9.6</v>
      </c>
      <c r="BM48" s="25">
        <v>2.7</v>
      </c>
      <c r="BN48" s="26">
        <v>5.4</v>
      </c>
      <c r="BO48" s="26">
        <v>2.4</v>
      </c>
      <c r="BP48" s="26">
        <v>1.8</v>
      </c>
      <c r="BQ48" s="26">
        <v>0.5</v>
      </c>
      <c r="BR48" s="26">
        <v>2.17</v>
      </c>
      <c r="BS48" s="26">
        <v>0.48</v>
      </c>
    </row>
    <row r="49" spans="1:71" x14ac:dyDescent="0.3">
      <c r="A49" t="s">
        <v>58</v>
      </c>
      <c r="B49" s="48">
        <v>26</v>
      </c>
      <c r="C49" s="40">
        <v>24</v>
      </c>
      <c r="D49" s="40">
        <v>20.7</v>
      </c>
      <c r="E49" s="40">
        <v>20</v>
      </c>
      <c r="F49" s="40">
        <v>24</v>
      </c>
      <c r="G49" s="36">
        <v>13.5</v>
      </c>
      <c r="H49" s="40">
        <v>24.5</v>
      </c>
      <c r="I49" s="49"/>
      <c r="J49" s="48"/>
      <c r="K49" s="48">
        <v>12</v>
      </c>
      <c r="L49" s="40">
        <v>10</v>
      </c>
      <c r="M49" s="40">
        <v>11</v>
      </c>
      <c r="N49" s="40">
        <v>8</v>
      </c>
      <c r="O49" s="40">
        <v>6.5</v>
      </c>
      <c r="P49" s="40">
        <v>8.5</v>
      </c>
      <c r="Q49" s="40">
        <v>11</v>
      </c>
      <c r="R49" s="49"/>
      <c r="S49" s="48"/>
      <c r="T49" s="48">
        <v>30</v>
      </c>
      <c r="U49" s="40">
        <v>18</v>
      </c>
      <c r="V49" s="26">
        <v>32</v>
      </c>
      <c r="W49" s="26">
        <v>18</v>
      </c>
      <c r="X49" s="26">
        <v>17</v>
      </c>
      <c r="Y49" s="26">
        <v>19</v>
      </c>
      <c r="Z49" s="26">
        <v>26.5</v>
      </c>
      <c r="AC49" s="25">
        <v>14</v>
      </c>
      <c r="AD49" s="26">
        <v>16</v>
      </c>
      <c r="AE49" s="26">
        <v>28</v>
      </c>
      <c r="AF49" s="26">
        <v>18</v>
      </c>
      <c r="AG49" s="26">
        <v>15</v>
      </c>
      <c r="AH49" s="26">
        <v>12</v>
      </c>
      <c r="AI49" s="26">
        <v>23</v>
      </c>
      <c r="AL49" s="25">
        <v>49.6</v>
      </c>
      <c r="AM49" s="26">
        <v>50</v>
      </c>
      <c r="AN49" s="26">
        <v>77.7</v>
      </c>
      <c r="AO49" s="26">
        <v>39.5</v>
      </c>
      <c r="AP49" s="26">
        <v>26.67</v>
      </c>
      <c r="AQ49" s="26">
        <v>23.25</v>
      </c>
      <c r="AR49" s="26">
        <v>67</v>
      </c>
      <c r="AU49" s="25">
        <v>40.200000000000003</v>
      </c>
      <c r="AV49" s="26">
        <v>22</v>
      </c>
      <c r="AW49" s="26">
        <v>19</v>
      </c>
      <c r="AX49" s="26">
        <v>10.199999999999999</v>
      </c>
      <c r="AY49" s="26">
        <v>0.54</v>
      </c>
      <c r="AZ49" s="26">
        <v>11.3</v>
      </c>
      <c r="BA49" s="26">
        <v>6.55</v>
      </c>
      <c r="BM49" s="25">
        <v>5.9</v>
      </c>
      <c r="BN49" s="26">
        <v>3.6</v>
      </c>
      <c r="BO49" s="26">
        <v>4.9000000000000004</v>
      </c>
      <c r="BP49" s="26">
        <v>1.54</v>
      </c>
      <c r="BQ49" s="26">
        <v>1.7</v>
      </c>
      <c r="BR49" s="26">
        <v>1.1399999999999999</v>
      </c>
      <c r="BS49" s="26">
        <v>3.45</v>
      </c>
    </row>
    <row r="50" spans="1:71" x14ac:dyDescent="0.3">
      <c r="A50" t="s">
        <v>66</v>
      </c>
      <c r="B50" s="48">
        <v>20</v>
      </c>
      <c r="C50" s="40">
        <v>19</v>
      </c>
      <c r="D50" s="40">
        <v>17</v>
      </c>
      <c r="E50" s="40">
        <v>22</v>
      </c>
      <c r="F50" s="40">
        <v>24</v>
      </c>
      <c r="G50" s="36">
        <v>16.5</v>
      </c>
      <c r="H50" s="40">
        <v>17.5</v>
      </c>
      <c r="I50" s="49"/>
      <c r="J50" s="48"/>
      <c r="K50" s="48">
        <v>8</v>
      </c>
      <c r="L50" s="40">
        <v>9</v>
      </c>
      <c r="M50" s="40">
        <v>9.5</v>
      </c>
      <c r="N50" s="40">
        <v>5</v>
      </c>
      <c r="O50" s="40">
        <v>7</v>
      </c>
      <c r="P50" s="40">
        <v>5.5</v>
      </c>
      <c r="Q50" s="40">
        <v>7</v>
      </c>
      <c r="R50" s="49"/>
      <c r="S50" s="48"/>
      <c r="T50" s="48">
        <v>6</v>
      </c>
      <c r="U50" s="40">
        <v>4</v>
      </c>
      <c r="V50" s="26">
        <v>8</v>
      </c>
      <c r="W50" s="26">
        <v>8</v>
      </c>
      <c r="X50" s="26">
        <v>10</v>
      </c>
      <c r="Y50" s="26">
        <v>7</v>
      </c>
      <c r="Z50" s="26">
        <v>10</v>
      </c>
      <c r="AC50" s="25">
        <v>16</v>
      </c>
      <c r="AD50" s="26">
        <v>20</v>
      </c>
      <c r="AE50" s="26">
        <v>22</v>
      </c>
      <c r="AF50" s="26">
        <v>17</v>
      </c>
      <c r="AG50" s="26">
        <v>22</v>
      </c>
      <c r="AH50" s="26">
        <v>15</v>
      </c>
      <c r="AI50" s="26">
        <v>20</v>
      </c>
      <c r="AL50" s="25">
        <v>42.8</v>
      </c>
      <c r="AM50" s="26">
        <v>55</v>
      </c>
      <c r="AN50" s="26">
        <v>73</v>
      </c>
      <c r="AO50" s="26">
        <v>32.96</v>
      </c>
      <c r="AP50" s="26">
        <v>65.67</v>
      </c>
      <c r="AQ50" s="26">
        <v>22.5</v>
      </c>
      <c r="AR50" s="26">
        <v>82.8</v>
      </c>
      <c r="AU50" s="25">
        <v>19.3</v>
      </c>
      <c r="AV50" s="26">
        <v>20.5</v>
      </c>
      <c r="AW50" s="26">
        <v>5.5</v>
      </c>
      <c r="AX50" s="26">
        <v>1.5</v>
      </c>
      <c r="AY50" s="26">
        <v>13.3</v>
      </c>
      <c r="AZ50" s="26">
        <v>3.5</v>
      </c>
      <c r="BA50" s="26">
        <v>3.45</v>
      </c>
      <c r="BM50" s="25">
        <v>1.1000000000000001</v>
      </c>
      <c r="BN50" s="26">
        <v>1.2</v>
      </c>
      <c r="BO50" s="26">
        <v>1.4</v>
      </c>
      <c r="BP50" s="26">
        <v>0.5</v>
      </c>
      <c r="BQ50" s="26">
        <v>0.3</v>
      </c>
      <c r="BR50" s="26">
        <v>0.5</v>
      </c>
      <c r="BS50" s="26">
        <v>2.1</v>
      </c>
    </row>
    <row r="51" spans="1:71" x14ac:dyDescent="0.3">
      <c r="A51" t="s">
        <v>205</v>
      </c>
      <c r="B51" s="48">
        <v>19</v>
      </c>
      <c r="C51" s="40">
        <v>17</v>
      </c>
      <c r="D51" s="40">
        <v>19</v>
      </c>
      <c r="E51" s="40">
        <v>22</v>
      </c>
      <c r="F51" s="40">
        <v>25</v>
      </c>
      <c r="G51" s="36">
        <v>21</v>
      </c>
      <c r="H51" s="40">
        <v>18</v>
      </c>
      <c r="I51" s="49"/>
      <c r="J51" s="48"/>
      <c r="K51" s="48">
        <v>10</v>
      </c>
      <c r="L51" s="40">
        <v>15</v>
      </c>
      <c r="M51" s="40">
        <v>12</v>
      </c>
      <c r="N51" s="40">
        <v>16</v>
      </c>
      <c r="O51" s="40">
        <v>18</v>
      </c>
      <c r="P51" s="40">
        <v>15</v>
      </c>
      <c r="Q51" s="40">
        <v>10</v>
      </c>
      <c r="R51" s="49"/>
      <c r="S51" s="48"/>
      <c r="T51" s="48">
        <v>24</v>
      </c>
      <c r="U51" s="40">
        <v>21</v>
      </c>
      <c r="V51" s="26">
        <v>23</v>
      </c>
      <c r="W51" s="26">
        <v>34</v>
      </c>
      <c r="X51" s="26">
        <v>21</v>
      </c>
      <c r="Y51" s="26">
        <v>14.5</v>
      </c>
      <c r="Z51" s="26">
        <v>18.5</v>
      </c>
      <c r="AC51" s="25">
        <v>7</v>
      </c>
      <c r="AD51" s="26">
        <v>18</v>
      </c>
      <c r="AE51" s="26">
        <v>5</v>
      </c>
      <c r="AF51" s="26">
        <v>14</v>
      </c>
      <c r="AG51" s="26">
        <v>12</v>
      </c>
      <c r="AH51" s="26">
        <v>9</v>
      </c>
      <c r="AI51" s="26">
        <v>15</v>
      </c>
      <c r="AL51" s="25">
        <v>41.1</v>
      </c>
      <c r="AM51" s="26">
        <v>59</v>
      </c>
      <c r="AN51" s="26">
        <v>14.7</v>
      </c>
      <c r="AO51" s="26">
        <v>72.790000000000006</v>
      </c>
      <c r="AP51" s="26">
        <v>75.13</v>
      </c>
      <c r="AQ51" s="26">
        <v>25.4</v>
      </c>
      <c r="AR51" s="26">
        <v>104</v>
      </c>
      <c r="AU51" s="25">
        <v>78.099999999999994</v>
      </c>
      <c r="AV51" s="26">
        <v>7.2</v>
      </c>
      <c r="AW51" s="26">
        <v>15.9</v>
      </c>
      <c r="AX51" s="26">
        <v>59.3</v>
      </c>
      <c r="AY51" s="26">
        <v>5.09</v>
      </c>
      <c r="AZ51" s="26">
        <v>0.7</v>
      </c>
      <c r="BA51" s="26">
        <v>17.5</v>
      </c>
      <c r="BD51" s="25">
        <v>4.2</v>
      </c>
      <c r="BE51" s="26">
        <v>6.8</v>
      </c>
      <c r="BG51" s="26">
        <v>8.85</v>
      </c>
      <c r="BH51" s="26">
        <v>3.54</v>
      </c>
      <c r="BI51" s="26">
        <v>9.4</v>
      </c>
      <c r="BJ51" s="26">
        <v>7.1</v>
      </c>
      <c r="BM51" s="25">
        <v>5.2</v>
      </c>
      <c r="BN51" s="26">
        <v>2.8</v>
      </c>
      <c r="BO51" s="26">
        <v>1.3</v>
      </c>
      <c r="BP51" s="26">
        <v>4.7</v>
      </c>
      <c r="BQ51" s="26">
        <v>3.8</v>
      </c>
      <c r="BR51" s="26">
        <v>0.68</v>
      </c>
      <c r="BS51" s="26">
        <v>6</v>
      </c>
    </row>
    <row r="52" spans="1:71" x14ac:dyDescent="0.3">
      <c r="A52" t="s">
        <v>206</v>
      </c>
      <c r="B52" s="48">
        <v>17</v>
      </c>
      <c r="C52" s="40">
        <v>24</v>
      </c>
      <c r="D52" s="40">
        <v>19</v>
      </c>
      <c r="E52" s="40">
        <v>22</v>
      </c>
      <c r="F52" s="40">
        <v>26</v>
      </c>
      <c r="G52" s="36">
        <v>26</v>
      </c>
      <c r="H52" s="40">
        <v>19</v>
      </c>
      <c r="I52" s="49"/>
      <c r="J52" s="48"/>
      <c r="K52" s="48">
        <v>6</v>
      </c>
      <c r="L52" s="40">
        <v>11</v>
      </c>
      <c r="M52" s="40">
        <v>8</v>
      </c>
      <c r="N52" s="40">
        <v>9</v>
      </c>
      <c r="O52" s="40">
        <v>11</v>
      </c>
      <c r="P52" s="40">
        <v>10</v>
      </c>
      <c r="Q52" s="40">
        <v>8</v>
      </c>
      <c r="R52" s="49"/>
      <c r="S52" s="48"/>
      <c r="T52" s="48">
        <v>6</v>
      </c>
      <c r="U52" s="40">
        <v>10</v>
      </c>
      <c r="V52" s="26">
        <v>16</v>
      </c>
      <c r="W52" s="26">
        <v>16</v>
      </c>
      <c r="X52" s="26">
        <v>11</v>
      </c>
      <c r="Y52" s="26">
        <v>2</v>
      </c>
      <c r="Z52" s="26">
        <v>17</v>
      </c>
      <c r="AC52" s="25">
        <v>15</v>
      </c>
      <c r="AD52" s="26">
        <v>21</v>
      </c>
      <c r="AE52" s="26">
        <v>22</v>
      </c>
      <c r="AF52" s="26">
        <v>18</v>
      </c>
      <c r="AG52" s="26">
        <v>22</v>
      </c>
      <c r="AH52" s="26">
        <v>24</v>
      </c>
      <c r="AI52" s="26">
        <v>19</v>
      </c>
      <c r="AL52" s="25">
        <v>22</v>
      </c>
      <c r="AM52" s="26">
        <v>53.4</v>
      </c>
      <c r="AN52" s="26">
        <v>36.5</v>
      </c>
      <c r="AO52" s="26">
        <v>61.2</v>
      </c>
      <c r="AP52" s="26">
        <v>72.16</v>
      </c>
      <c r="AQ52" s="26">
        <v>47.14</v>
      </c>
      <c r="AR52" s="26">
        <v>70.599999999999994</v>
      </c>
      <c r="AU52" s="25">
        <v>9.5</v>
      </c>
      <c r="AV52" s="26">
        <v>15</v>
      </c>
      <c r="AW52" s="26">
        <v>33.6</v>
      </c>
      <c r="AX52" s="26">
        <v>14.6</v>
      </c>
      <c r="AY52" s="26">
        <v>9.1300000000000008</v>
      </c>
      <c r="AZ52" s="26">
        <v>3.8</v>
      </c>
      <c r="BA52" s="26">
        <v>8</v>
      </c>
      <c r="BD52" s="25">
        <v>4.4000000000000004</v>
      </c>
      <c r="BE52" s="26">
        <v>3.2</v>
      </c>
      <c r="BF52" s="26">
        <v>3.8</v>
      </c>
      <c r="BG52" s="26">
        <v>3.07</v>
      </c>
      <c r="BI52" s="26">
        <v>3.75</v>
      </c>
      <c r="BJ52" s="26">
        <v>6.9</v>
      </c>
      <c r="BM52" s="25">
        <v>0.3</v>
      </c>
      <c r="BN52" s="26">
        <v>0.7</v>
      </c>
      <c r="BO52" s="26">
        <v>0.2</v>
      </c>
      <c r="BP52" s="26">
        <v>1.34</v>
      </c>
      <c r="BQ52" s="26">
        <v>0.8</v>
      </c>
      <c r="BR52" s="26">
        <v>0.4</v>
      </c>
      <c r="BS52" s="26">
        <v>1</v>
      </c>
    </row>
    <row r="53" spans="1:71" x14ac:dyDescent="0.3">
      <c r="A53" t="s">
        <v>207</v>
      </c>
      <c r="B53" s="48">
        <v>19</v>
      </c>
      <c r="C53" s="40">
        <v>25</v>
      </c>
      <c r="D53" s="40">
        <v>26</v>
      </c>
      <c r="E53" s="40">
        <v>28</v>
      </c>
      <c r="F53" s="40">
        <v>29</v>
      </c>
      <c r="G53" s="36">
        <v>21</v>
      </c>
      <c r="H53" s="40"/>
      <c r="I53" s="49"/>
      <c r="J53" s="48"/>
      <c r="K53" s="48">
        <v>12</v>
      </c>
      <c r="L53" s="40">
        <v>18</v>
      </c>
      <c r="M53" s="40">
        <v>7</v>
      </c>
      <c r="N53" s="40">
        <v>14</v>
      </c>
      <c r="O53" s="40">
        <v>24</v>
      </c>
      <c r="P53" s="40">
        <v>13</v>
      </c>
      <c r="Q53" s="40"/>
      <c r="R53" s="49"/>
      <c r="S53" s="48"/>
      <c r="T53" s="48">
        <v>6</v>
      </c>
      <c r="U53" s="40">
        <v>8</v>
      </c>
      <c r="V53" s="26">
        <v>9</v>
      </c>
      <c r="W53" s="26">
        <v>9</v>
      </c>
      <c r="X53" s="26">
        <v>21</v>
      </c>
      <c r="Y53" s="26">
        <v>11</v>
      </c>
      <c r="AC53" s="25">
        <v>8</v>
      </c>
      <c r="AD53" s="26">
        <v>11</v>
      </c>
      <c r="AE53" s="26">
        <v>13</v>
      </c>
      <c r="AF53" s="26">
        <v>13</v>
      </c>
      <c r="AG53" s="26">
        <v>17</v>
      </c>
      <c r="AH53" s="26">
        <v>14</v>
      </c>
      <c r="AL53" s="25">
        <v>33.6</v>
      </c>
      <c r="AM53" s="26">
        <v>48.7</v>
      </c>
      <c r="AN53" s="26">
        <v>50.51</v>
      </c>
      <c r="AO53" s="26">
        <v>43.43</v>
      </c>
      <c r="AP53" s="26">
        <v>43.6</v>
      </c>
      <c r="AQ53" s="26">
        <v>72.599999999999994</v>
      </c>
      <c r="AU53" s="25">
        <v>33.5</v>
      </c>
      <c r="AV53" s="26">
        <v>22</v>
      </c>
      <c r="AW53" s="26">
        <v>10.71</v>
      </c>
      <c r="AX53" s="26">
        <v>9.1300000000000008</v>
      </c>
      <c r="AY53" s="26">
        <v>19.11</v>
      </c>
      <c r="AZ53" s="26">
        <v>2.5</v>
      </c>
      <c r="BD53" s="25">
        <v>3.3</v>
      </c>
      <c r="BE53" s="26">
        <v>3.4</v>
      </c>
      <c r="BG53" s="26">
        <v>4.5</v>
      </c>
      <c r="BH53" s="26">
        <v>4.8</v>
      </c>
      <c r="BI53" s="26">
        <v>4.8</v>
      </c>
      <c r="BM53" s="25">
        <v>1.8</v>
      </c>
      <c r="BN53" s="26">
        <v>2</v>
      </c>
      <c r="BO53" s="26">
        <v>0.38</v>
      </c>
      <c r="BP53" s="26">
        <v>1.5</v>
      </c>
      <c r="BQ53" s="26">
        <v>0.9</v>
      </c>
      <c r="BR53" s="26">
        <v>1</v>
      </c>
    </row>
    <row r="54" spans="1:71" x14ac:dyDescent="0.3">
      <c r="A54" t="s">
        <v>208</v>
      </c>
      <c r="B54" s="48">
        <v>20</v>
      </c>
      <c r="C54" s="40">
        <v>22</v>
      </c>
      <c r="D54" s="40">
        <v>22</v>
      </c>
      <c r="E54" s="40">
        <v>19</v>
      </c>
      <c r="F54" s="40">
        <v>18</v>
      </c>
      <c r="G54" s="36"/>
      <c r="H54" s="40"/>
      <c r="I54" s="49"/>
      <c r="J54" s="48"/>
      <c r="K54" s="48">
        <v>15</v>
      </c>
      <c r="L54" s="40">
        <v>20</v>
      </c>
      <c r="M54" s="40">
        <v>17</v>
      </c>
      <c r="N54" s="40">
        <v>16</v>
      </c>
      <c r="O54" s="40">
        <v>15</v>
      </c>
      <c r="P54" s="40"/>
      <c r="Q54" s="40"/>
      <c r="R54" s="49"/>
      <c r="S54" s="48"/>
      <c r="T54" s="48">
        <v>20</v>
      </c>
      <c r="U54" s="40">
        <v>23</v>
      </c>
      <c r="V54" s="26">
        <v>21</v>
      </c>
      <c r="W54" s="26">
        <v>16</v>
      </c>
      <c r="X54" s="26">
        <v>29</v>
      </c>
      <c r="AC54" s="25">
        <v>17</v>
      </c>
      <c r="AD54" s="26">
        <v>40</v>
      </c>
      <c r="AE54" s="26">
        <v>38</v>
      </c>
      <c r="AF54" s="26">
        <v>27</v>
      </c>
      <c r="AG54" s="26">
        <v>18</v>
      </c>
      <c r="AL54" s="25">
        <v>41.5</v>
      </c>
      <c r="AM54" s="26">
        <v>137.80000000000001</v>
      </c>
      <c r="AN54" s="26">
        <v>95.3</v>
      </c>
      <c r="AO54" s="26">
        <v>78.099999999999994</v>
      </c>
      <c r="AP54" s="26">
        <v>64</v>
      </c>
      <c r="AU54" s="25">
        <v>10.3</v>
      </c>
      <c r="AV54" s="26">
        <v>35.700000000000003</v>
      </c>
      <c r="AW54" s="26">
        <v>30.1</v>
      </c>
      <c r="AX54" s="26">
        <v>10.199999999999999</v>
      </c>
      <c r="AY54" s="26">
        <v>16.5</v>
      </c>
      <c r="BD54" s="25">
        <v>14.4</v>
      </c>
      <c r="BE54" s="26">
        <v>28.8</v>
      </c>
      <c r="BF54" s="26">
        <v>25.6</v>
      </c>
      <c r="BG54" s="26">
        <v>13.8</v>
      </c>
      <c r="BH54" s="26">
        <v>19.600000000000001</v>
      </c>
      <c r="BM54" s="25">
        <v>2.8</v>
      </c>
      <c r="BN54" s="26">
        <v>12</v>
      </c>
      <c r="BO54" s="26">
        <v>7.66</v>
      </c>
      <c r="BP54" s="26">
        <v>4.2</v>
      </c>
      <c r="BQ54" s="26">
        <v>4</v>
      </c>
    </row>
    <row r="55" spans="1:71" x14ac:dyDescent="0.3">
      <c r="A55" t="s">
        <v>209</v>
      </c>
      <c r="B55" s="47">
        <v>21</v>
      </c>
      <c r="C55" s="36">
        <v>20</v>
      </c>
      <c r="D55" s="36">
        <v>20</v>
      </c>
      <c r="E55" s="36">
        <v>25</v>
      </c>
      <c r="F55" s="36">
        <v>18</v>
      </c>
      <c r="G55" s="36"/>
      <c r="H55" s="40"/>
      <c r="I55" s="49"/>
      <c r="J55" s="48"/>
      <c r="K55" s="48">
        <v>10</v>
      </c>
      <c r="L55" s="40">
        <v>11</v>
      </c>
      <c r="M55" s="40">
        <v>23</v>
      </c>
      <c r="N55" s="40">
        <v>15</v>
      </c>
      <c r="O55" s="40">
        <v>12</v>
      </c>
      <c r="P55" s="40"/>
      <c r="Q55" s="40"/>
      <c r="R55" s="49"/>
      <c r="S55" s="48"/>
      <c r="T55" s="48">
        <v>7</v>
      </c>
      <c r="U55" s="40">
        <v>34</v>
      </c>
      <c r="V55" s="26">
        <v>23</v>
      </c>
      <c r="W55" s="26">
        <v>29</v>
      </c>
      <c r="X55" s="26">
        <v>28</v>
      </c>
      <c r="AC55" s="25">
        <v>14</v>
      </c>
      <c r="AD55" s="26">
        <v>14</v>
      </c>
      <c r="AE55" s="26">
        <v>20</v>
      </c>
      <c r="AF55" s="26">
        <v>17</v>
      </c>
      <c r="AG55" s="26">
        <v>19</v>
      </c>
      <c r="AL55" s="25">
        <v>22.6</v>
      </c>
      <c r="AM55" s="26">
        <v>29.9</v>
      </c>
      <c r="AN55" s="26">
        <v>56.6</v>
      </c>
      <c r="AO55" s="26">
        <v>40.1</v>
      </c>
      <c r="AP55" s="26">
        <v>67.599999999999994</v>
      </c>
      <c r="AU55" s="25">
        <v>5.2</v>
      </c>
      <c r="AV55" s="26">
        <v>8.6</v>
      </c>
      <c r="AW55" s="26">
        <v>22.8</v>
      </c>
      <c r="AX55" s="26">
        <v>15.1</v>
      </c>
      <c r="AY55" s="26">
        <v>10.8</v>
      </c>
      <c r="BD55" s="25">
        <v>2</v>
      </c>
      <c r="BE55" s="26">
        <v>2.5</v>
      </c>
      <c r="BF55" s="26">
        <v>3.8</v>
      </c>
      <c r="BG55" s="26">
        <v>3</v>
      </c>
      <c r="BH55" s="26">
        <v>3</v>
      </c>
      <c r="BM55" s="25">
        <v>0.6</v>
      </c>
      <c r="BN55" s="26">
        <v>1.7</v>
      </c>
      <c r="BO55" s="26">
        <v>3.3</v>
      </c>
      <c r="BP55" s="26">
        <v>3.1</v>
      </c>
      <c r="BQ55" s="26">
        <v>3.1</v>
      </c>
    </row>
    <row r="56" spans="1:71" x14ac:dyDescent="0.3">
      <c r="A56" t="s">
        <v>210</v>
      </c>
      <c r="B56" s="47">
        <v>19</v>
      </c>
      <c r="C56" s="36">
        <v>17.5</v>
      </c>
      <c r="D56" s="36">
        <v>21</v>
      </c>
      <c r="E56" s="36">
        <v>18</v>
      </c>
      <c r="F56" s="36">
        <v>19</v>
      </c>
      <c r="G56" s="36"/>
      <c r="H56" s="36"/>
      <c r="I56" s="50"/>
      <c r="J56" s="47"/>
      <c r="K56" s="47">
        <v>14</v>
      </c>
      <c r="L56" s="36">
        <v>12</v>
      </c>
      <c r="M56" s="36">
        <v>14</v>
      </c>
      <c r="N56" s="36">
        <v>12.5</v>
      </c>
      <c r="O56" s="36">
        <v>15</v>
      </c>
      <c r="P56" s="36"/>
      <c r="Q56" s="36"/>
      <c r="R56" s="50"/>
      <c r="S56" s="47"/>
      <c r="T56" s="47">
        <v>3</v>
      </c>
      <c r="U56" s="36">
        <v>5</v>
      </c>
      <c r="V56" s="26">
        <v>9</v>
      </c>
      <c r="W56" s="26">
        <v>3</v>
      </c>
      <c r="X56" s="26">
        <v>2</v>
      </c>
      <c r="AC56" s="25">
        <v>8</v>
      </c>
      <c r="AD56" s="26">
        <v>12</v>
      </c>
      <c r="AE56" s="26">
        <v>14</v>
      </c>
      <c r="AF56" s="26">
        <v>13</v>
      </c>
      <c r="AG56" s="26">
        <v>15</v>
      </c>
      <c r="AL56" s="25">
        <v>19.3</v>
      </c>
      <c r="AM56" s="26">
        <v>41</v>
      </c>
      <c r="AN56" s="26">
        <v>39.299999999999997</v>
      </c>
      <c r="AO56" s="26">
        <v>40.4</v>
      </c>
      <c r="AP56" s="26">
        <v>54.9</v>
      </c>
      <c r="AW56" s="26">
        <v>5.4</v>
      </c>
      <c r="AX56" s="26">
        <v>3.5</v>
      </c>
      <c r="AY56" s="26">
        <v>11</v>
      </c>
      <c r="BD56" s="25">
        <v>2</v>
      </c>
      <c r="BE56" s="26">
        <v>1.9</v>
      </c>
      <c r="BF56" s="26">
        <v>2.4</v>
      </c>
      <c r="BG56" s="26">
        <v>3</v>
      </c>
      <c r="BH56" s="26">
        <v>2.4</v>
      </c>
      <c r="BM56" s="25">
        <v>0.9</v>
      </c>
      <c r="BN56" s="26">
        <v>0.9</v>
      </c>
      <c r="BO56" s="26">
        <v>0.9</v>
      </c>
      <c r="BP56" s="26">
        <v>0.1</v>
      </c>
      <c r="BQ56" s="26">
        <v>0.2</v>
      </c>
    </row>
    <row r="57" spans="1:71" x14ac:dyDescent="0.3">
      <c r="A57" t="s">
        <v>211</v>
      </c>
      <c r="B57" s="48">
        <v>17.5</v>
      </c>
      <c r="C57" s="40">
        <v>17</v>
      </c>
      <c r="D57" s="40">
        <v>19</v>
      </c>
      <c r="E57" s="40">
        <v>15.5</v>
      </c>
      <c r="F57" s="40">
        <v>17</v>
      </c>
      <c r="G57" s="36"/>
      <c r="H57" s="36"/>
      <c r="I57" s="50"/>
      <c r="J57" s="47"/>
      <c r="K57" s="47">
        <v>8</v>
      </c>
      <c r="L57" s="36">
        <v>9</v>
      </c>
      <c r="M57" s="36">
        <v>9.6</v>
      </c>
      <c r="N57" s="36">
        <v>8</v>
      </c>
      <c r="O57" s="36">
        <v>7</v>
      </c>
      <c r="P57" s="36"/>
      <c r="Q57" s="36"/>
      <c r="R57" s="50"/>
      <c r="S57" s="47"/>
      <c r="T57" s="47">
        <v>20</v>
      </c>
      <c r="U57" s="36">
        <v>15</v>
      </c>
      <c r="V57" s="26">
        <v>22</v>
      </c>
      <c r="W57" s="26">
        <v>17</v>
      </c>
      <c r="X57" s="26">
        <v>23</v>
      </c>
      <c r="AC57" s="25">
        <v>17</v>
      </c>
      <c r="AD57" s="26">
        <v>19</v>
      </c>
      <c r="AE57" s="26">
        <v>18</v>
      </c>
      <c r="AF57" s="26">
        <v>17</v>
      </c>
      <c r="AG57" s="26">
        <v>18</v>
      </c>
      <c r="AL57" s="25">
        <v>39.1</v>
      </c>
      <c r="AM57" s="26">
        <v>49.2</v>
      </c>
      <c r="AN57" s="26">
        <v>38.4</v>
      </c>
      <c r="AO57" s="26">
        <v>28</v>
      </c>
      <c r="AP57" s="26">
        <v>30</v>
      </c>
      <c r="AY57" s="26">
        <v>0.3</v>
      </c>
      <c r="BD57" s="25">
        <v>2.1</v>
      </c>
      <c r="BE57" s="26">
        <v>2.6</v>
      </c>
      <c r="BF57" s="26">
        <v>1.9</v>
      </c>
      <c r="BG57" s="26">
        <v>2.6</v>
      </c>
      <c r="BH57" s="26">
        <v>1.9</v>
      </c>
      <c r="BM57" s="25">
        <v>1.9</v>
      </c>
      <c r="BN57" s="26">
        <v>1.9</v>
      </c>
      <c r="BO57" s="26">
        <v>1.6</v>
      </c>
      <c r="BP57" s="26">
        <v>1.2</v>
      </c>
      <c r="BQ57" s="26">
        <v>1.3</v>
      </c>
    </row>
    <row r="58" spans="1:71" x14ac:dyDescent="0.3">
      <c r="A58" t="s">
        <v>212</v>
      </c>
      <c r="B58" s="48">
        <v>18</v>
      </c>
      <c r="C58" s="40">
        <v>17</v>
      </c>
      <c r="D58" s="40">
        <v>13</v>
      </c>
      <c r="E58" s="40">
        <v>16</v>
      </c>
      <c r="F58" s="40">
        <v>16</v>
      </c>
      <c r="G58" s="36"/>
      <c r="H58" s="40"/>
      <c r="I58" s="49"/>
      <c r="J58" s="48"/>
      <c r="K58" s="48">
        <v>6</v>
      </c>
      <c r="L58" s="40">
        <v>9</v>
      </c>
      <c r="M58" s="40">
        <v>8</v>
      </c>
      <c r="N58" s="40">
        <v>8</v>
      </c>
      <c r="O58" s="40">
        <v>9</v>
      </c>
      <c r="P58" s="40"/>
      <c r="Q58" s="40"/>
      <c r="R58" s="49"/>
      <c r="S58" s="48"/>
      <c r="T58" s="48">
        <v>17</v>
      </c>
      <c r="U58" s="40">
        <v>28</v>
      </c>
      <c r="V58" s="26">
        <v>27</v>
      </c>
      <c r="W58" s="26">
        <v>25</v>
      </c>
      <c r="X58" s="26">
        <v>30</v>
      </c>
      <c r="AC58" s="25">
        <v>23</v>
      </c>
      <c r="AD58" s="26">
        <v>39</v>
      </c>
      <c r="AE58" s="26">
        <v>41</v>
      </c>
      <c r="AF58" s="26">
        <v>46</v>
      </c>
      <c r="AG58" s="26">
        <v>63</v>
      </c>
      <c r="AL58" s="25">
        <v>16.7</v>
      </c>
      <c r="AM58" s="26">
        <v>45.5</v>
      </c>
      <c r="AN58" s="26">
        <v>47.6</v>
      </c>
      <c r="AO58" s="26">
        <v>47</v>
      </c>
      <c r="AP58" s="26">
        <v>80.7</v>
      </c>
      <c r="AU58" s="25">
        <v>6.5</v>
      </c>
      <c r="AV58" s="26">
        <v>7</v>
      </c>
      <c r="AW58" s="26">
        <v>16.899999999999999</v>
      </c>
      <c r="AX58" s="26">
        <v>3.1</v>
      </c>
      <c r="AY58" s="26">
        <v>6.2</v>
      </c>
      <c r="BD58" s="25">
        <v>3.4</v>
      </c>
      <c r="BE58" s="26">
        <v>3.7</v>
      </c>
      <c r="BF58" s="26">
        <v>4.4000000000000004</v>
      </c>
      <c r="BG58" s="26">
        <v>1.3</v>
      </c>
      <c r="BH58" s="26">
        <v>5.0999999999999996</v>
      </c>
      <c r="BM58" s="25">
        <v>0.4</v>
      </c>
      <c r="BN58" s="26">
        <v>1.5</v>
      </c>
      <c r="BO58" s="26">
        <v>1.9</v>
      </c>
      <c r="BP58" s="26">
        <v>1.1000000000000001</v>
      </c>
      <c r="BQ58" s="26">
        <v>2.8</v>
      </c>
    </row>
    <row r="59" spans="1:71" x14ac:dyDescent="0.3">
      <c r="A59" s="47"/>
      <c r="B59" s="48"/>
      <c r="C59" s="40"/>
      <c r="D59" s="40"/>
      <c r="E59" s="40"/>
      <c r="F59" s="40"/>
      <c r="G59" s="36"/>
      <c r="H59" s="40"/>
      <c r="I59" s="49"/>
      <c r="J59" s="48"/>
      <c r="K59" s="48"/>
      <c r="L59" s="40"/>
      <c r="M59" s="40"/>
      <c r="N59" s="40"/>
      <c r="O59" s="40"/>
      <c r="P59" s="40"/>
      <c r="Q59" s="40"/>
      <c r="R59" s="49"/>
      <c r="S59" s="48"/>
      <c r="T59" s="48"/>
      <c r="U59" s="40"/>
    </row>
    <row r="60" spans="1:71" x14ac:dyDescent="0.3">
      <c r="A60" s="47"/>
      <c r="B60" s="48"/>
      <c r="C60" s="40"/>
      <c r="D60" s="40"/>
      <c r="E60" s="40"/>
      <c r="F60" s="40"/>
      <c r="G60" s="36"/>
      <c r="H60" s="40"/>
      <c r="I60" s="49"/>
      <c r="J60" s="48"/>
      <c r="K60" s="48"/>
      <c r="L60" s="40"/>
      <c r="M60" s="40"/>
      <c r="N60" s="40"/>
      <c r="O60" s="40"/>
      <c r="P60" s="40"/>
      <c r="Q60" s="40"/>
      <c r="R60" s="49"/>
      <c r="S60" s="48"/>
      <c r="T60" s="48"/>
      <c r="U60" s="40"/>
    </row>
    <row r="61" spans="1:71" x14ac:dyDescent="0.3">
      <c r="A61" s="47"/>
      <c r="B61" s="48"/>
      <c r="C61" s="40"/>
      <c r="D61" s="40"/>
      <c r="E61" s="40"/>
      <c r="F61" s="40"/>
      <c r="G61" s="36"/>
      <c r="H61" s="40"/>
      <c r="I61" s="49"/>
      <c r="J61" s="48"/>
      <c r="K61" s="48"/>
      <c r="L61" s="40"/>
      <c r="M61" s="40"/>
      <c r="N61" s="40"/>
      <c r="O61" s="40"/>
      <c r="P61" s="40"/>
      <c r="Q61" s="40"/>
      <c r="R61" s="49"/>
      <c r="S61" s="48"/>
      <c r="T61" s="48"/>
      <c r="U61" s="40"/>
    </row>
    <row r="62" spans="1:71" x14ac:dyDescent="0.3">
      <c r="A62" s="47"/>
      <c r="B62" s="48"/>
      <c r="C62" s="40"/>
      <c r="D62" s="40"/>
      <c r="E62" s="40"/>
      <c r="F62" s="40"/>
      <c r="G62" s="36"/>
      <c r="H62" s="40"/>
      <c r="I62" s="49"/>
      <c r="J62" s="48"/>
      <c r="K62" s="48"/>
      <c r="L62" s="40"/>
      <c r="M62" s="40"/>
      <c r="N62" s="40"/>
      <c r="O62" s="40"/>
      <c r="P62" s="40"/>
      <c r="Q62" s="40"/>
      <c r="R62" s="49"/>
      <c r="S62" s="48"/>
      <c r="T62" s="48"/>
      <c r="U62" s="40"/>
    </row>
    <row r="63" spans="1:71" x14ac:dyDescent="0.3">
      <c r="A63" s="47"/>
      <c r="B63" s="48"/>
      <c r="C63" s="40"/>
      <c r="D63" s="40"/>
      <c r="E63" s="40"/>
      <c r="F63" s="40"/>
      <c r="G63" s="36"/>
      <c r="H63" s="40"/>
      <c r="I63" s="49"/>
      <c r="J63" s="48"/>
      <c r="K63" s="48"/>
      <c r="L63" s="40"/>
      <c r="M63" s="40"/>
      <c r="N63" s="40"/>
      <c r="O63" s="40"/>
      <c r="P63" s="40"/>
      <c r="Q63" s="40"/>
      <c r="R63" s="49"/>
      <c r="S63" s="48"/>
      <c r="T63" s="48"/>
      <c r="U63" s="40"/>
    </row>
    <row r="64" spans="1:71" x14ac:dyDescent="0.3">
      <c r="A64" s="47"/>
      <c r="B64" s="48"/>
      <c r="C64" s="40"/>
      <c r="D64" s="40"/>
      <c r="E64" s="40"/>
      <c r="F64" s="40"/>
      <c r="G64" s="36"/>
      <c r="H64" s="40"/>
      <c r="I64" s="49"/>
      <c r="J64" s="48"/>
      <c r="K64" s="48"/>
      <c r="L64" s="40"/>
      <c r="M64" s="40"/>
      <c r="N64" s="40"/>
      <c r="O64" s="40"/>
      <c r="P64" s="40"/>
      <c r="Q64" s="40"/>
      <c r="R64" s="49"/>
      <c r="S64" s="48"/>
      <c r="T64" s="48"/>
      <c r="U64" s="40"/>
    </row>
    <row r="65" spans="1:25" x14ac:dyDescent="0.3">
      <c r="A65" s="47"/>
      <c r="B65" s="47"/>
      <c r="C65" s="36"/>
      <c r="D65" s="36"/>
      <c r="E65" s="36"/>
      <c r="F65" s="36"/>
      <c r="G65" s="36"/>
      <c r="H65" s="40"/>
      <c r="I65" s="49"/>
      <c r="J65" s="48"/>
      <c r="K65" s="48"/>
      <c r="L65" s="40"/>
      <c r="M65" s="40"/>
      <c r="N65" s="40"/>
      <c r="O65" s="40"/>
      <c r="P65" s="40"/>
      <c r="Q65" s="40"/>
      <c r="R65" s="49"/>
      <c r="S65" s="48"/>
      <c r="T65" s="48"/>
      <c r="U65" s="40"/>
    </row>
    <row r="66" spans="1:25" x14ac:dyDescent="0.3">
      <c r="A66" s="47"/>
      <c r="B66" s="47"/>
      <c r="C66" s="36"/>
      <c r="D66" s="36"/>
      <c r="E66" s="36"/>
      <c r="F66" s="36"/>
      <c r="G66" s="36"/>
      <c r="H66" s="36"/>
      <c r="I66" s="50"/>
      <c r="J66" s="47"/>
      <c r="K66" s="47"/>
      <c r="L66" s="36"/>
      <c r="M66" s="36"/>
      <c r="N66" s="36"/>
      <c r="O66" s="36"/>
      <c r="P66" s="36"/>
      <c r="Q66" s="36"/>
      <c r="R66" s="50"/>
      <c r="S66" s="47"/>
      <c r="T66" s="47"/>
      <c r="U66" s="36"/>
    </row>
    <row r="67" spans="1:25" x14ac:dyDescent="0.3">
      <c r="A67" s="47"/>
      <c r="B67" s="47"/>
      <c r="C67" s="36"/>
      <c r="D67" s="36"/>
      <c r="E67" s="36"/>
      <c r="F67" s="36"/>
      <c r="G67" s="36"/>
      <c r="H67" s="36"/>
      <c r="I67" s="50"/>
      <c r="J67" s="47"/>
      <c r="K67" s="47"/>
      <c r="L67" s="36"/>
      <c r="M67" s="36"/>
      <c r="N67" s="36"/>
      <c r="O67" s="36"/>
      <c r="P67" s="36"/>
      <c r="Q67" s="36"/>
      <c r="R67" s="50"/>
      <c r="S67" s="47"/>
      <c r="T67" s="47"/>
      <c r="U67" s="36"/>
    </row>
    <row r="68" spans="1:25" x14ac:dyDescent="0.3">
      <c r="A68" s="47"/>
      <c r="B68" s="48"/>
      <c r="C68" s="40"/>
      <c r="D68" s="40"/>
      <c r="E68" s="40"/>
      <c r="F68" s="40"/>
      <c r="G68" s="36"/>
      <c r="H68" s="36"/>
      <c r="I68" s="50"/>
      <c r="J68" s="47"/>
      <c r="K68" s="47"/>
      <c r="L68" s="36"/>
      <c r="M68" s="36"/>
      <c r="N68" s="36"/>
      <c r="O68" s="36"/>
      <c r="P68" s="36"/>
      <c r="Q68" s="36"/>
      <c r="R68" s="50"/>
      <c r="S68" s="47"/>
      <c r="T68" s="47"/>
      <c r="U68" s="36"/>
    </row>
    <row r="69" spans="1:25" x14ac:dyDescent="0.3">
      <c r="A69" s="47"/>
      <c r="B69" s="48"/>
      <c r="C69" s="40"/>
      <c r="D69" s="40"/>
      <c r="E69" s="40"/>
      <c r="F69" s="40"/>
      <c r="G69" s="36"/>
      <c r="H69" s="40"/>
      <c r="I69" s="49"/>
      <c r="J69" s="48"/>
      <c r="K69" s="48"/>
      <c r="L69" s="40"/>
      <c r="M69" s="40"/>
      <c r="N69" s="40"/>
      <c r="O69" s="40"/>
      <c r="P69" s="40"/>
      <c r="Q69" s="40"/>
      <c r="R69" s="49"/>
      <c r="S69" s="51"/>
      <c r="T69" s="51"/>
      <c r="U69" s="52"/>
      <c r="V69" s="52"/>
      <c r="W69" s="39"/>
    </row>
    <row r="70" spans="1:25" x14ac:dyDescent="0.3">
      <c r="A70" s="47"/>
      <c r="B70" s="48"/>
      <c r="C70" s="40"/>
      <c r="D70" s="40"/>
      <c r="E70" s="40"/>
      <c r="F70" s="40"/>
      <c r="G70" s="36"/>
      <c r="H70" s="40"/>
      <c r="I70" s="49"/>
      <c r="J70" s="48"/>
      <c r="K70" s="48"/>
      <c r="L70" s="40"/>
      <c r="M70" s="40"/>
      <c r="N70" s="40"/>
      <c r="O70" s="40"/>
      <c r="P70" s="40"/>
      <c r="Q70" s="40"/>
      <c r="R70" s="50"/>
      <c r="S70" s="48"/>
      <c r="T70" s="48"/>
      <c r="U70" s="40"/>
      <c r="V70" s="40"/>
      <c r="W70" s="40"/>
      <c r="X70" s="42"/>
      <c r="Y70" s="41"/>
    </row>
    <row r="71" spans="1:25" x14ac:dyDescent="0.3">
      <c r="A71" s="47"/>
      <c r="B71" s="48"/>
      <c r="C71" s="40"/>
      <c r="D71" s="40"/>
      <c r="E71" s="40"/>
      <c r="F71" s="40"/>
      <c r="G71" s="36"/>
      <c r="H71" s="40"/>
      <c r="I71" s="49"/>
      <c r="J71" s="48"/>
      <c r="K71" s="48"/>
      <c r="L71" s="40"/>
      <c r="M71" s="40"/>
      <c r="N71" s="40"/>
      <c r="O71" s="40"/>
      <c r="P71" s="40"/>
      <c r="Q71" s="40"/>
      <c r="R71" s="50"/>
      <c r="S71" s="51"/>
      <c r="T71" s="51"/>
      <c r="U71" s="52"/>
      <c r="V71" s="53"/>
      <c r="W71" s="39"/>
      <c r="X71" s="42"/>
      <c r="Y71" s="41"/>
    </row>
    <row r="72" spans="1:25" x14ac:dyDescent="0.3">
      <c r="A72" s="47"/>
      <c r="B72" s="48"/>
      <c r="C72" s="40"/>
      <c r="D72" s="40"/>
      <c r="E72" s="40"/>
      <c r="F72" s="40"/>
      <c r="G72" s="36"/>
      <c r="H72" s="40"/>
      <c r="I72" s="49"/>
      <c r="J72" s="48"/>
      <c r="K72" s="48"/>
      <c r="L72" s="40"/>
      <c r="M72" s="40"/>
      <c r="N72" s="40"/>
      <c r="O72" s="40"/>
      <c r="P72" s="40"/>
      <c r="Q72" s="40"/>
      <c r="R72" s="50"/>
      <c r="S72" s="48"/>
      <c r="T72" s="48"/>
      <c r="U72" s="40"/>
      <c r="V72" s="40"/>
      <c r="W72" s="40"/>
      <c r="X72" s="42"/>
      <c r="Y72" s="41"/>
    </row>
    <row r="73" spans="1:25" x14ac:dyDescent="0.3">
      <c r="A73" s="47"/>
      <c r="B73" s="48"/>
      <c r="C73" s="40"/>
      <c r="D73" s="40"/>
      <c r="E73" s="40"/>
      <c r="F73" s="40"/>
      <c r="G73" s="36"/>
      <c r="H73" s="40"/>
      <c r="I73" s="49"/>
      <c r="J73" s="48"/>
      <c r="K73" s="48"/>
      <c r="L73" s="40"/>
      <c r="M73" s="40"/>
      <c r="N73" s="40"/>
      <c r="O73" s="40"/>
      <c r="P73" s="40"/>
      <c r="Q73" s="40"/>
      <c r="R73" s="50"/>
      <c r="S73" s="48"/>
      <c r="T73" s="48"/>
      <c r="U73" s="40"/>
      <c r="V73" s="40"/>
      <c r="W73" s="40"/>
      <c r="X73" s="42"/>
      <c r="Y73" s="41"/>
    </row>
    <row r="74" spans="1:25" x14ac:dyDescent="0.3">
      <c r="A74" s="47"/>
      <c r="B74" s="48"/>
      <c r="C74" s="40"/>
      <c r="D74" s="40"/>
      <c r="E74" s="40"/>
      <c r="F74" s="40"/>
      <c r="G74" s="36"/>
      <c r="H74" s="40"/>
      <c r="I74" s="49"/>
      <c r="J74" s="48"/>
      <c r="K74" s="48"/>
      <c r="L74" s="40"/>
      <c r="M74" s="40"/>
      <c r="N74" s="40"/>
      <c r="O74" s="40"/>
      <c r="P74" s="40"/>
      <c r="Q74" s="40"/>
      <c r="R74" s="50"/>
      <c r="S74" s="48"/>
      <c r="T74" s="48"/>
      <c r="U74" s="40"/>
      <c r="V74" s="40"/>
      <c r="W74" s="40"/>
      <c r="X74" s="42"/>
      <c r="Y74" s="41"/>
    </row>
    <row r="75" spans="1:25" x14ac:dyDescent="0.3">
      <c r="A75" s="47"/>
      <c r="B75" s="48"/>
      <c r="C75" s="40"/>
      <c r="D75" s="40"/>
      <c r="E75" s="40"/>
      <c r="F75" s="40"/>
      <c r="G75" s="40"/>
      <c r="H75" s="40"/>
      <c r="I75" s="49"/>
      <c r="J75" s="48"/>
      <c r="K75" s="48"/>
      <c r="L75" s="40"/>
      <c r="M75" s="40"/>
      <c r="N75" s="40"/>
      <c r="O75" s="40"/>
      <c r="P75" s="40"/>
    </row>
    <row r="76" spans="1:25" x14ac:dyDescent="0.3">
      <c r="A76" s="47"/>
      <c r="B76" s="47"/>
      <c r="C76" s="36"/>
      <c r="D76" s="36"/>
      <c r="E76" s="36"/>
      <c r="F76" s="36"/>
      <c r="G76" s="36"/>
      <c r="H76" s="36"/>
      <c r="I76" s="50"/>
      <c r="J76" s="47"/>
      <c r="K76" s="47"/>
      <c r="L76" s="36"/>
      <c r="M76" s="36"/>
      <c r="N76" s="36"/>
      <c r="O76" s="36"/>
      <c r="P76" s="36"/>
    </row>
    <row r="77" spans="1:25" x14ac:dyDescent="0.3">
      <c r="A77" s="47"/>
      <c r="B77" s="47"/>
      <c r="C77" s="36"/>
      <c r="D77" s="36"/>
      <c r="E77" s="36"/>
      <c r="F77" s="36"/>
      <c r="G77" s="36"/>
      <c r="H77" s="36"/>
      <c r="I77" s="50"/>
      <c r="J77" s="47"/>
      <c r="K77" s="47"/>
      <c r="L77" s="36"/>
      <c r="M77" s="36"/>
      <c r="N77" s="36"/>
      <c r="O77" s="36"/>
      <c r="P77" s="36"/>
    </row>
    <row r="78" spans="1:25" x14ac:dyDescent="0.3">
      <c r="A78" s="47"/>
      <c r="B78" s="48"/>
      <c r="C78" s="40"/>
      <c r="D78" s="40"/>
      <c r="E78" s="40"/>
      <c r="F78" s="40"/>
      <c r="G78" s="40"/>
      <c r="H78" s="40"/>
      <c r="I78" s="49"/>
      <c r="J78" s="48"/>
      <c r="K78" s="48"/>
      <c r="L78" s="40"/>
      <c r="M78" s="40"/>
      <c r="N78" s="40"/>
      <c r="O78" s="40"/>
      <c r="P78" s="40"/>
    </row>
    <row r="79" spans="1:25" x14ac:dyDescent="0.3">
      <c r="A79" s="47"/>
      <c r="B79" s="48"/>
      <c r="C79" s="40"/>
      <c r="D79" s="40"/>
      <c r="E79" s="40"/>
      <c r="F79" s="40"/>
      <c r="G79" s="40"/>
      <c r="H79" s="40"/>
      <c r="I79" s="49"/>
      <c r="J79" s="48"/>
      <c r="K79" s="48"/>
      <c r="L79" s="40"/>
      <c r="M79" s="40"/>
      <c r="N79" s="40"/>
      <c r="O79" s="40"/>
      <c r="P79" s="40"/>
    </row>
    <row r="80" spans="1:25" x14ac:dyDescent="0.3">
      <c r="A80" s="47"/>
      <c r="B80" s="48"/>
      <c r="C80" s="40"/>
      <c r="D80" s="40"/>
      <c r="E80" s="40"/>
      <c r="F80" s="40"/>
      <c r="G80" s="40"/>
      <c r="H80" s="40"/>
      <c r="I80" s="49"/>
      <c r="J80" s="48"/>
      <c r="K80" s="48"/>
      <c r="L80" s="40"/>
      <c r="M80" s="40"/>
      <c r="N80" s="40"/>
      <c r="O80" s="40"/>
      <c r="P80" s="40"/>
    </row>
    <row r="81" spans="1:16" x14ac:dyDescent="0.3">
      <c r="A81" s="47"/>
      <c r="B81" s="48"/>
      <c r="C81" s="40"/>
      <c r="D81" s="40"/>
      <c r="E81" s="40"/>
      <c r="F81" s="40"/>
      <c r="G81" s="40"/>
      <c r="H81" s="40"/>
      <c r="I81" s="49"/>
      <c r="J81" s="48"/>
      <c r="K81" s="48"/>
      <c r="L81" s="40"/>
      <c r="M81" s="40"/>
      <c r="N81" s="40"/>
      <c r="O81" s="40"/>
      <c r="P81" s="40"/>
    </row>
    <row r="82" spans="1:16" x14ac:dyDescent="0.3">
      <c r="A82" s="47"/>
      <c r="B82" s="48"/>
      <c r="C82" s="40"/>
      <c r="D82" s="40"/>
      <c r="E82" s="40"/>
      <c r="F82" s="40"/>
      <c r="G82" s="40"/>
      <c r="H82" s="40"/>
      <c r="I82" s="49"/>
      <c r="J82" s="48"/>
      <c r="K82" s="48"/>
      <c r="L82" s="40"/>
      <c r="M82" s="40"/>
      <c r="N82" s="40"/>
      <c r="O82" s="40"/>
      <c r="P82" s="40"/>
    </row>
    <row r="83" spans="1:16" x14ac:dyDescent="0.3">
      <c r="A83" s="47"/>
      <c r="B83" s="48"/>
      <c r="C83" s="40"/>
      <c r="D83" s="40"/>
      <c r="E83" s="40"/>
      <c r="F83" s="40"/>
      <c r="G83" s="40"/>
      <c r="H83" s="40"/>
      <c r="I83" s="49"/>
      <c r="J83" s="48"/>
      <c r="K83" s="48"/>
      <c r="L83" s="40"/>
      <c r="M83" s="40"/>
      <c r="N83" s="40"/>
      <c r="O83" s="40"/>
      <c r="P83" s="40"/>
    </row>
    <row r="84" spans="1:16" x14ac:dyDescent="0.3">
      <c r="A84" s="47"/>
      <c r="B84" s="48"/>
      <c r="C84" s="40"/>
      <c r="D84" s="40"/>
      <c r="E84" s="40"/>
      <c r="F84" s="40"/>
      <c r="G84" s="40"/>
      <c r="H84" s="40"/>
      <c r="I84" s="49"/>
      <c r="J84" s="48"/>
      <c r="K84" s="48"/>
      <c r="L84" s="40"/>
      <c r="M84" s="40"/>
      <c r="N84" s="40"/>
      <c r="O84" s="40"/>
      <c r="P84" s="40"/>
    </row>
    <row r="85" spans="1:16" x14ac:dyDescent="0.3">
      <c r="A85" s="47"/>
      <c r="B85" s="48"/>
      <c r="C85" s="40"/>
      <c r="D85" s="40"/>
      <c r="E85" s="40"/>
      <c r="F85" s="40"/>
      <c r="G85" s="40"/>
      <c r="H85" s="40"/>
      <c r="I85" s="49"/>
      <c r="J85" s="48"/>
      <c r="K85" s="48"/>
      <c r="L85" s="40"/>
      <c r="M85" s="40"/>
      <c r="N85" s="40"/>
      <c r="O85" s="40"/>
      <c r="P85" s="40"/>
    </row>
    <row r="86" spans="1:16" x14ac:dyDescent="0.3">
      <c r="A86" s="47"/>
      <c r="B86" s="47"/>
      <c r="C86" s="36"/>
      <c r="D86" s="36"/>
      <c r="E86" s="36"/>
      <c r="F86" s="36"/>
      <c r="G86" s="36"/>
      <c r="H86" s="36"/>
      <c r="I86" s="50"/>
      <c r="J86" s="47"/>
      <c r="K86" s="47"/>
      <c r="L86" s="36"/>
      <c r="M86" s="36"/>
      <c r="N86" s="36"/>
      <c r="O86" s="36"/>
      <c r="P86" s="36"/>
    </row>
    <row r="87" spans="1:16" x14ac:dyDescent="0.3">
      <c r="A87" s="47"/>
      <c r="B87" s="47"/>
      <c r="C87" s="36"/>
      <c r="D87" s="36"/>
      <c r="E87" s="36"/>
      <c r="F87" s="36"/>
      <c r="G87" s="36"/>
      <c r="H87" s="36"/>
      <c r="I87" s="50"/>
      <c r="J87" s="47"/>
      <c r="K87" s="47"/>
      <c r="L87" s="36"/>
      <c r="M87" s="36"/>
      <c r="N87" s="36"/>
      <c r="O87" s="36"/>
      <c r="P87" s="36"/>
    </row>
    <row r="88" spans="1:16" x14ac:dyDescent="0.3">
      <c r="A88" s="47"/>
      <c r="B88" s="48"/>
      <c r="C88" s="40"/>
      <c r="D88" s="40"/>
      <c r="E88" s="40"/>
      <c r="F88" s="40"/>
      <c r="G88" s="40"/>
      <c r="H88" s="40"/>
      <c r="I88" s="49"/>
      <c r="J88" s="48"/>
      <c r="K88" s="47"/>
      <c r="L88" s="36"/>
      <c r="M88" s="36"/>
      <c r="N88" s="36"/>
      <c r="O88" s="36"/>
      <c r="P88" s="36"/>
    </row>
    <row r="89" spans="1:16" x14ac:dyDescent="0.3">
      <c r="A89" s="47"/>
      <c r="B89" s="48"/>
      <c r="C89" s="40"/>
      <c r="D89" s="40"/>
      <c r="E89" s="40"/>
      <c r="F89" s="40"/>
      <c r="G89" s="40"/>
      <c r="H89" s="40"/>
      <c r="I89" s="49"/>
      <c r="J89" s="48"/>
      <c r="K89" s="47"/>
      <c r="L89" s="36"/>
      <c r="M89" s="36"/>
      <c r="N89" s="36"/>
      <c r="O89" s="36"/>
      <c r="P89" s="36"/>
    </row>
    <row r="90" spans="1:16" x14ac:dyDescent="0.3">
      <c r="A90" s="47"/>
      <c r="B90" s="48"/>
      <c r="C90" s="40"/>
      <c r="D90" s="40"/>
      <c r="E90" s="40"/>
      <c r="F90" s="40"/>
      <c r="G90" s="40"/>
      <c r="H90" s="40"/>
      <c r="I90" s="49"/>
      <c r="J90" s="48"/>
      <c r="K90" s="47"/>
      <c r="L90" s="36"/>
      <c r="M90" s="36"/>
      <c r="N90" s="36"/>
      <c r="O90" s="36"/>
      <c r="P90" s="36"/>
    </row>
    <row r="91" spans="1:16" x14ac:dyDescent="0.3">
      <c r="A91" s="47"/>
      <c r="B91" s="48"/>
      <c r="C91" s="40"/>
      <c r="D91" s="40"/>
      <c r="E91" s="40"/>
      <c r="F91" s="40"/>
      <c r="G91" s="40"/>
      <c r="H91" s="40"/>
      <c r="I91" s="49"/>
      <c r="J91" s="48"/>
      <c r="K91" s="47"/>
      <c r="L91" s="36"/>
      <c r="M91" s="36"/>
      <c r="N91" s="36"/>
      <c r="O91" s="36"/>
      <c r="P91" s="36"/>
    </row>
    <row r="92" spans="1:16" x14ac:dyDescent="0.3">
      <c r="A92" s="47"/>
      <c r="B92" s="48"/>
      <c r="C92" s="40"/>
      <c r="D92" s="40"/>
      <c r="E92" s="40"/>
      <c r="F92" s="40"/>
      <c r="G92" s="40"/>
      <c r="H92" s="40"/>
      <c r="I92" s="49"/>
      <c r="J92" s="48"/>
      <c r="K92" s="47"/>
      <c r="L92" s="36"/>
      <c r="M92" s="36"/>
      <c r="N92" s="36"/>
      <c r="O92" s="36"/>
      <c r="P92" s="36"/>
    </row>
    <row r="93" spans="1:16" x14ac:dyDescent="0.3">
      <c r="A93" s="47"/>
      <c r="B93" s="48"/>
      <c r="C93" s="40"/>
      <c r="D93" s="40"/>
      <c r="E93" s="40"/>
      <c r="F93" s="40"/>
      <c r="G93" s="40"/>
      <c r="H93" s="40"/>
      <c r="I93" s="49"/>
      <c r="J93" s="48"/>
      <c r="K93" s="47"/>
      <c r="L93" s="36"/>
      <c r="M93" s="36"/>
      <c r="N93" s="36"/>
      <c r="O93" s="36"/>
      <c r="P93" s="36"/>
    </row>
    <row r="94" spans="1:16" x14ac:dyDescent="0.3">
      <c r="A94" s="47"/>
      <c r="B94" s="48"/>
      <c r="C94" s="40"/>
      <c r="D94" s="40"/>
      <c r="E94" s="40"/>
      <c r="F94" s="40"/>
      <c r="G94" s="40"/>
      <c r="H94" s="40"/>
      <c r="I94" s="49"/>
      <c r="J94" s="48"/>
      <c r="K94" s="47"/>
      <c r="L94" s="36"/>
      <c r="M94" s="36"/>
      <c r="N94" s="36"/>
      <c r="O94" s="36"/>
      <c r="P94" s="36"/>
    </row>
    <row r="95" spans="1:16" x14ac:dyDescent="0.3">
      <c r="A95" s="47"/>
      <c r="B95" s="48"/>
      <c r="C95" s="40"/>
      <c r="D95" s="40"/>
      <c r="E95" s="40"/>
      <c r="F95" s="40"/>
      <c r="G95" s="40"/>
      <c r="H95" s="40"/>
      <c r="I95" s="49"/>
      <c r="J95" s="48"/>
      <c r="K95" s="47"/>
      <c r="L95" s="36"/>
      <c r="M95" s="36"/>
      <c r="N95" s="36"/>
      <c r="O95" s="36"/>
      <c r="P95" s="36"/>
    </row>
    <row r="96" spans="1:16" x14ac:dyDescent="0.3">
      <c r="A96" s="47"/>
      <c r="B96" s="47"/>
      <c r="C96" s="36"/>
      <c r="D96" s="36"/>
      <c r="E96" s="36"/>
      <c r="F96" s="36"/>
      <c r="G96" s="36"/>
      <c r="H96" s="36"/>
      <c r="I96" s="50"/>
      <c r="J96" s="47"/>
      <c r="K96" s="47"/>
      <c r="L96" s="36"/>
      <c r="M96" s="36"/>
      <c r="N96" s="36"/>
      <c r="O96" s="36"/>
      <c r="P96" s="36"/>
    </row>
    <row r="97" spans="1:16" x14ac:dyDescent="0.3">
      <c r="A97" s="47"/>
      <c r="B97" s="47"/>
      <c r="C97" s="36"/>
      <c r="D97" s="36"/>
      <c r="E97" s="36"/>
      <c r="F97" s="36"/>
      <c r="G97" s="36"/>
      <c r="H97" s="36"/>
      <c r="I97" s="50"/>
      <c r="J97" s="47"/>
      <c r="K97" s="47"/>
      <c r="L97" s="36"/>
      <c r="M97" s="36"/>
      <c r="N97" s="36"/>
      <c r="O97" s="36"/>
      <c r="P97" s="36"/>
    </row>
    <row r="98" spans="1:16" x14ac:dyDescent="0.3">
      <c r="A98" s="47"/>
      <c r="B98" s="48"/>
      <c r="C98" s="40"/>
      <c r="D98" s="36"/>
      <c r="E98" s="36"/>
      <c r="F98" s="36"/>
      <c r="G98" s="36"/>
      <c r="H98" s="36"/>
      <c r="I98" s="50"/>
      <c r="J98" s="47"/>
      <c r="K98" s="47"/>
      <c r="L98" s="36"/>
      <c r="M98" s="36"/>
      <c r="N98" s="36"/>
      <c r="O98" s="36"/>
      <c r="P98" s="36"/>
    </row>
    <row r="99" spans="1:16" x14ac:dyDescent="0.3">
      <c r="A99" s="47"/>
      <c r="B99" s="48"/>
      <c r="C99" s="40"/>
      <c r="D99" s="36"/>
      <c r="E99" s="36"/>
      <c r="F99" s="36"/>
      <c r="G99" s="36"/>
      <c r="H99" s="36"/>
      <c r="I99" s="50"/>
      <c r="J99" s="47"/>
      <c r="K99" s="47"/>
      <c r="L99" s="36"/>
      <c r="M99" s="36"/>
      <c r="N99" s="36"/>
      <c r="O99" s="36"/>
      <c r="P99" s="36"/>
    </row>
    <row r="100" spans="1:16" x14ac:dyDescent="0.3">
      <c r="A100" s="47"/>
      <c r="B100" s="48"/>
      <c r="C100" s="40"/>
      <c r="D100" s="36"/>
      <c r="E100" s="36"/>
      <c r="F100" s="36"/>
      <c r="G100" s="36"/>
      <c r="H100" s="36"/>
      <c r="I100" s="50"/>
      <c r="J100" s="47"/>
      <c r="K100" s="47"/>
      <c r="L100" s="36"/>
      <c r="M100" s="36"/>
      <c r="N100" s="36"/>
      <c r="O100" s="36"/>
      <c r="P100" s="36"/>
    </row>
    <row r="101" spans="1:16" x14ac:dyDescent="0.3">
      <c r="A101" s="47"/>
      <c r="B101" s="48"/>
      <c r="C101" s="40"/>
      <c r="D101" s="36"/>
      <c r="E101" s="36"/>
      <c r="F101" s="36"/>
      <c r="G101" s="36"/>
      <c r="H101" s="36"/>
      <c r="I101" s="50"/>
      <c r="J101" s="47"/>
      <c r="K101" s="47"/>
      <c r="L101" s="36"/>
      <c r="M101" s="36"/>
      <c r="N101" s="36"/>
      <c r="O101" s="36"/>
      <c r="P101" s="36"/>
    </row>
    <row r="102" spans="1:16" x14ac:dyDescent="0.3">
      <c r="A102" s="47"/>
      <c r="B102" s="48"/>
      <c r="C102" s="40"/>
      <c r="D102" s="36"/>
      <c r="E102" s="36"/>
      <c r="F102" s="36"/>
      <c r="G102" s="36"/>
      <c r="H102" s="36"/>
      <c r="I102" s="50"/>
      <c r="J102" s="47"/>
      <c r="K102" s="47"/>
      <c r="L102" s="36"/>
      <c r="M102" s="36"/>
      <c r="N102" s="36"/>
      <c r="O102" s="36"/>
      <c r="P102" s="36"/>
    </row>
    <row r="103" spans="1:16" x14ac:dyDescent="0.3">
      <c r="A103" s="47"/>
      <c r="B103" s="48"/>
      <c r="C103" s="40"/>
      <c r="D103" s="36"/>
      <c r="E103" s="36"/>
      <c r="F103" s="36"/>
      <c r="G103" s="36"/>
      <c r="H103" s="36"/>
      <c r="I103" s="50"/>
      <c r="J103" s="47"/>
      <c r="K103" s="47"/>
      <c r="L103" s="36"/>
      <c r="M103" s="36"/>
      <c r="N103" s="36"/>
      <c r="O103" s="36"/>
      <c r="P103" s="36"/>
    </row>
    <row r="104" spans="1:16" x14ac:dyDescent="0.3">
      <c r="A104" s="47"/>
      <c r="B104" s="48"/>
      <c r="C104" s="40"/>
      <c r="D104" s="36"/>
      <c r="E104" s="36"/>
      <c r="F104" s="36"/>
      <c r="G104" s="36"/>
      <c r="H104" s="36"/>
      <c r="I104" s="50"/>
      <c r="J104" s="47"/>
      <c r="K104" s="47"/>
      <c r="L104" s="36"/>
      <c r="M104" s="36"/>
      <c r="N104" s="36"/>
      <c r="O104" s="36"/>
      <c r="P104" s="36"/>
    </row>
    <row r="105" spans="1:16" x14ac:dyDescent="0.3">
      <c r="A105" s="47"/>
      <c r="B105" s="48"/>
      <c r="C105" s="40"/>
      <c r="D105" s="36"/>
      <c r="E105" s="36"/>
      <c r="F105" s="36"/>
      <c r="G105" s="36"/>
      <c r="H105" s="36"/>
      <c r="I105" s="50"/>
      <c r="J105" s="47"/>
      <c r="K105" s="47"/>
      <c r="L105" s="36"/>
      <c r="M105" s="36"/>
      <c r="N105" s="36"/>
      <c r="O105" s="36"/>
      <c r="P105" s="36"/>
    </row>
    <row r="106" spans="1:16" x14ac:dyDescent="0.3">
      <c r="A106" s="47"/>
      <c r="B106" s="47"/>
      <c r="C106" s="36"/>
      <c r="D106" s="36"/>
      <c r="E106" s="36"/>
      <c r="F106" s="36"/>
      <c r="G106" s="36"/>
      <c r="H106" s="36"/>
      <c r="I106" s="50"/>
      <c r="J106" s="47"/>
      <c r="K106" s="47"/>
      <c r="L106" s="36"/>
      <c r="M106" s="36"/>
      <c r="N106" s="36"/>
      <c r="O106" s="36"/>
      <c r="P106" s="36"/>
    </row>
    <row r="107" spans="1:16" x14ac:dyDescent="0.3">
      <c r="A107" s="47"/>
      <c r="B107" s="47"/>
      <c r="C107" s="36"/>
      <c r="D107" s="36"/>
      <c r="E107" s="36"/>
      <c r="F107" s="36"/>
      <c r="G107" s="36"/>
      <c r="H107" s="36"/>
      <c r="I107" s="50"/>
      <c r="J107" s="47"/>
      <c r="K107" s="47"/>
      <c r="L107" s="36"/>
      <c r="M107" s="36"/>
      <c r="N107" s="36"/>
      <c r="O107" s="36"/>
      <c r="P107" s="36"/>
    </row>
    <row r="108" spans="1:16" x14ac:dyDescent="0.3">
      <c r="A108" s="47"/>
      <c r="B108" s="47"/>
      <c r="C108" s="36"/>
      <c r="D108" s="36"/>
      <c r="E108" s="36"/>
      <c r="F108" s="36"/>
      <c r="G108" s="36"/>
      <c r="H108" s="36"/>
      <c r="I108" s="50"/>
      <c r="J108" s="47"/>
      <c r="K108" s="47"/>
      <c r="L108" s="36"/>
      <c r="M108" s="36"/>
      <c r="N108" s="36"/>
      <c r="O108" s="36"/>
      <c r="P108" s="36"/>
    </row>
    <row r="109" spans="1:16" x14ac:dyDescent="0.3">
      <c r="A109" s="47"/>
      <c r="B109" s="48"/>
      <c r="C109" s="40"/>
      <c r="D109" s="40"/>
      <c r="E109" s="40"/>
      <c r="F109" s="40"/>
      <c r="G109" s="40"/>
      <c r="H109" s="40"/>
      <c r="I109" s="49"/>
      <c r="J109" s="48"/>
      <c r="K109" s="48"/>
      <c r="L109" s="40"/>
      <c r="M109" s="40"/>
      <c r="N109" s="40"/>
      <c r="O109" s="40"/>
      <c r="P109" s="40"/>
    </row>
    <row r="110" spans="1:16" x14ac:dyDescent="0.3">
      <c r="A110" s="47"/>
      <c r="B110" s="48"/>
      <c r="C110" s="40"/>
      <c r="D110" s="40"/>
      <c r="E110" s="40"/>
      <c r="F110" s="40"/>
      <c r="G110" s="40"/>
      <c r="H110" s="40"/>
      <c r="I110" s="49"/>
      <c r="J110" s="48"/>
      <c r="K110" s="48"/>
      <c r="L110" s="40"/>
      <c r="M110" s="40"/>
      <c r="N110" s="40"/>
      <c r="O110" s="40"/>
      <c r="P110" s="40"/>
    </row>
    <row r="111" spans="1:16" x14ac:dyDescent="0.3">
      <c r="A111" s="47"/>
      <c r="B111" s="48"/>
      <c r="C111" s="40"/>
      <c r="D111" s="40"/>
      <c r="E111" s="40"/>
      <c r="F111" s="40"/>
      <c r="G111" s="40"/>
      <c r="H111" s="40"/>
      <c r="I111" s="49"/>
      <c r="J111" s="48"/>
      <c r="K111" s="48"/>
      <c r="L111" s="40"/>
      <c r="M111" s="40"/>
      <c r="N111" s="40"/>
      <c r="O111" s="40"/>
      <c r="P111" s="40"/>
    </row>
    <row r="112" spans="1:16" x14ac:dyDescent="0.3">
      <c r="A112" s="47"/>
      <c r="B112" s="48"/>
      <c r="C112" s="40"/>
      <c r="D112" s="40"/>
      <c r="E112" s="40"/>
      <c r="F112" s="40"/>
      <c r="G112" s="40"/>
      <c r="H112" s="40"/>
      <c r="I112" s="49"/>
      <c r="J112" s="48"/>
      <c r="K112" s="48"/>
      <c r="L112" s="40"/>
      <c r="M112" s="40"/>
      <c r="N112" s="40"/>
      <c r="O112" s="40"/>
      <c r="P112" s="40"/>
    </row>
    <row r="113" spans="1:16" x14ac:dyDescent="0.3">
      <c r="A113" s="47"/>
      <c r="B113" s="48"/>
      <c r="C113" s="40"/>
      <c r="D113" s="40"/>
      <c r="E113" s="40"/>
      <c r="F113" s="40"/>
      <c r="G113" s="40"/>
      <c r="H113" s="40"/>
      <c r="I113" s="49"/>
      <c r="J113" s="48"/>
      <c r="K113" s="48"/>
      <c r="L113" s="40"/>
      <c r="M113" s="40"/>
      <c r="N113" s="40"/>
      <c r="O113" s="40"/>
      <c r="P113" s="40"/>
    </row>
    <row r="114" spans="1:16" x14ac:dyDescent="0.3">
      <c r="A114" s="47"/>
      <c r="B114" s="48"/>
      <c r="C114" s="40"/>
      <c r="D114" s="40"/>
      <c r="E114" s="40"/>
      <c r="F114" s="40"/>
      <c r="G114" s="40"/>
      <c r="H114" s="40"/>
      <c r="I114" s="49"/>
      <c r="J114" s="48"/>
      <c r="K114" s="48"/>
      <c r="L114" s="40"/>
      <c r="M114" s="40"/>
      <c r="N114" s="40"/>
      <c r="O114" s="40"/>
      <c r="P114" s="40"/>
    </row>
    <row r="115" spans="1:16" x14ac:dyDescent="0.3">
      <c r="A115" s="47"/>
      <c r="B115" s="48"/>
      <c r="C115" s="40"/>
      <c r="D115" s="40"/>
      <c r="E115" s="40"/>
      <c r="F115" s="40"/>
      <c r="G115" s="40"/>
      <c r="H115" s="40"/>
      <c r="I115" s="49"/>
      <c r="J115" s="48"/>
      <c r="K115" s="48"/>
      <c r="L115" s="40"/>
      <c r="M115" s="40"/>
      <c r="N115" s="40"/>
      <c r="O115" s="40"/>
      <c r="P115" s="40"/>
    </row>
    <row r="116" spans="1:16" x14ac:dyDescent="0.3">
      <c r="A116" s="47"/>
      <c r="B116" s="48"/>
      <c r="C116" s="40"/>
      <c r="D116" s="40"/>
      <c r="E116" s="40"/>
      <c r="F116" s="40"/>
      <c r="G116" s="40"/>
      <c r="H116" s="40"/>
      <c r="I116" s="49"/>
      <c r="J116" s="48"/>
      <c r="K116" s="48"/>
      <c r="L116" s="40"/>
      <c r="M116" s="40"/>
      <c r="N116" s="40"/>
      <c r="O116" s="40"/>
      <c r="P116" s="40"/>
    </row>
    <row r="117" spans="1:16" x14ac:dyDescent="0.3">
      <c r="A117" s="47"/>
      <c r="B117" s="47"/>
      <c r="C117" s="36"/>
      <c r="D117" s="36"/>
      <c r="E117" s="36"/>
      <c r="F117" s="36"/>
      <c r="G117" s="36"/>
      <c r="H117" s="36"/>
      <c r="I117" s="50"/>
      <c r="J117" s="47"/>
      <c r="K117" s="47"/>
      <c r="L117" s="36"/>
      <c r="M117" s="36"/>
      <c r="N117" s="36"/>
      <c r="O117" s="36"/>
      <c r="P117" s="36"/>
    </row>
    <row r="118" spans="1:16" x14ac:dyDescent="0.3">
      <c r="A118" s="47"/>
      <c r="B118" s="47"/>
      <c r="C118" s="36"/>
      <c r="D118" s="36"/>
      <c r="E118" s="36"/>
      <c r="F118" s="36"/>
      <c r="G118" s="36"/>
      <c r="H118" s="36"/>
      <c r="I118" s="50"/>
      <c r="J118" s="47"/>
      <c r="K118" s="47"/>
      <c r="L118" s="36"/>
      <c r="M118" s="36"/>
      <c r="N118" s="36"/>
      <c r="O118" s="36"/>
      <c r="P118" s="36"/>
    </row>
    <row r="119" spans="1:16" x14ac:dyDescent="0.3">
      <c r="A119" s="47"/>
      <c r="B119" s="48"/>
      <c r="C119" s="40"/>
      <c r="D119" s="40"/>
      <c r="E119" s="40"/>
      <c r="F119" s="40"/>
      <c r="G119" s="40"/>
      <c r="H119" s="40"/>
      <c r="I119" s="49"/>
      <c r="J119" s="48"/>
      <c r="K119" s="48"/>
      <c r="L119" s="40"/>
      <c r="M119" s="40"/>
      <c r="N119" s="40"/>
      <c r="O119" s="40"/>
      <c r="P119" s="40"/>
    </row>
    <row r="120" spans="1:16" x14ac:dyDescent="0.3">
      <c r="A120" s="47"/>
      <c r="B120" s="48"/>
      <c r="C120" s="40"/>
      <c r="D120" s="40"/>
      <c r="E120" s="40"/>
      <c r="F120" s="40"/>
      <c r="G120" s="40"/>
      <c r="H120" s="40"/>
      <c r="I120" s="49"/>
      <c r="J120" s="48"/>
      <c r="K120" s="48"/>
      <c r="L120" s="40"/>
      <c r="M120" s="40"/>
      <c r="N120" s="40"/>
      <c r="O120" s="40"/>
      <c r="P120" s="40"/>
    </row>
    <row r="121" spans="1:16" x14ac:dyDescent="0.3">
      <c r="A121" s="47"/>
      <c r="B121" s="48"/>
      <c r="C121" s="40"/>
      <c r="D121" s="40"/>
      <c r="E121" s="40"/>
      <c r="F121" s="40"/>
      <c r="G121" s="40"/>
      <c r="H121" s="40"/>
      <c r="I121" s="49"/>
      <c r="J121" s="48"/>
      <c r="K121" s="48"/>
      <c r="L121" s="40"/>
      <c r="M121" s="40"/>
      <c r="N121" s="40"/>
      <c r="O121" s="40"/>
      <c r="P121" s="40"/>
    </row>
    <row r="122" spans="1:16" x14ac:dyDescent="0.3">
      <c r="A122" s="47"/>
      <c r="B122" s="48"/>
      <c r="C122" s="40"/>
      <c r="D122" s="40"/>
      <c r="E122" s="40"/>
      <c r="F122" s="40"/>
      <c r="G122" s="40"/>
      <c r="H122" s="40"/>
      <c r="I122" s="49"/>
      <c r="J122" s="48"/>
      <c r="K122" s="48"/>
      <c r="L122" s="40"/>
      <c r="M122" s="40"/>
      <c r="N122" s="40"/>
      <c r="O122" s="40"/>
      <c r="P122" s="40"/>
    </row>
    <row r="123" spans="1:16" x14ac:dyDescent="0.3">
      <c r="A123" s="47"/>
      <c r="B123" s="48"/>
      <c r="C123" s="40"/>
      <c r="D123" s="40"/>
      <c r="E123" s="40"/>
      <c r="F123" s="40"/>
      <c r="G123" s="40"/>
      <c r="H123" s="40"/>
      <c r="I123" s="49"/>
      <c r="J123" s="48"/>
      <c r="K123" s="48"/>
      <c r="L123" s="40"/>
      <c r="M123" s="40"/>
      <c r="N123" s="40"/>
      <c r="O123" s="40"/>
      <c r="P123" s="40"/>
    </row>
    <row r="124" spans="1:16" x14ac:dyDescent="0.3">
      <c r="A124" s="47"/>
      <c r="B124" s="48"/>
      <c r="C124" s="40"/>
      <c r="D124" s="40"/>
      <c r="E124" s="40"/>
      <c r="F124" s="40"/>
      <c r="G124" s="40"/>
      <c r="H124" s="40"/>
      <c r="I124" s="49"/>
      <c r="J124" s="48"/>
      <c r="K124" s="48"/>
      <c r="L124" s="40"/>
      <c r="M124" s="40"/>
      <c r="N124" s="40"/>
      <c r="O124" s="40"/>
      <c r="P124" s="40"/>
    </row>
    <row r="125" spans="1:16" x14ac:dyDescent="0.3">
      <c r="A125" s="47"/>
      <c r="B125" s="48"/>
      <c r="C125" s="40"/>
      <c r="D125" s="40"/>
      <c r="E125" s="40"/>
      <c r="F125" s="40"/>
      <c r="G125" s="40"/>
      <c r="H125" s="40"/>
      <c r="I125" s="49"/>
      <c r="J125" s="48"/>
      <c r="K125" s="48"/>
      <c r="L125" s="40"/>
      <c r="M125" s="40"/>
      <c r="N125" s="40"/>
      <c r="O125" s="40"/>
      <c r="P125" s="40"/>
    </row>
    <row r="126" spans="1:16" x14ac:dyDescent="0.3">
      <c r="A126" s="47"/>
      <c r="B126" s="48"/>
      <c r="C126" s="40"/>
      <c r="D126" s="40"/>
      <c r="E126" s="40"/>
      <c r="F126" s="40"/>
      <c r="G126" s="40"/>
      <c r="H126" s="40"/>
      <c r="I126" s="49"/>
      <c r="J126" s="48"/>
      <c r="K126" s="48"/>
      <c r="L126" s="40"/>
      <c r="M126" s="40"/>
      <c r="N126" s="40"/>
      <c r="O126" s="40"/>
      <c r="P126" s="40"/>
    </row>
    <row r="127" spans="1:16" x14ac:dyDescent="0.3">
      <c r="A127" s="47"/>
      <c r="B127" s="47"/>
      <c r="C127" s="36"/>
      <c r="D127" s="36"/>
      <c r="E127" s="36"/>
      <c r="F127" s="36"/>
      <c r="G127" s="36"/>
      <c r="H127" s="36"/>
      <c r="I127" s="50"/>
      <c r="J127" s="47"/>
      <c r="K127" s="47"/>
      <c r="L127" s="36"/>
      <c r="M127" s="36"/>
      <c r="N127" s="36"/>
      <c r="O127" s="36"/>
      <c r="P127" s="36"/>
    </row>
    <row r="128" spans="1:16" x14ac:dyDescent="0.3">
      <c r="A128" s="47"/>
      <c r="B128" s="47"/>
      <c r="C128" s="36"/>
      <c r="D128" s="36"/>
      <c r="E128" s="36"/>
      <c r="F128" s="36"/>
      <c r="G128" s="36"/>
      <c r="H128" s="36"/>
      <c r="I128" s="50"/>
      <c r="J128" s="47"/>
      <c r="K128" s="47"/>
      <c r="L128" s="36"/>
      <c r="M128" s="36"/>
      <c r="N128" s="36"/>
      <c r="O128" s="36"/>
      <c r="P128" s="36"/>
    </row>
    <row r="129" spans="1:16" x14ac:dyDescent="0.3">
      <c r="A129" s="47"/>
      <c r="B129" s="48"/>
      <c r="C129" s="40"/>
      <c r="D129" s="40"/>
      <c r="E129" s="40"/>
      <c r="F129" s="40"/>
      <c r="G129" s="40"/>
      <c r="H129" s="40"/>
      <c r="I129" s="49"/>
      <c r="J129" s="48"/>
      <c r="K129" s="48"/>
      <c r="L129" s="40"/>
      <c r="M129" s="40"/>
      <c r="N129" s="40"/>
      <c r="O129" s="40"/>
      <c r="P129" s="40"/>
    </row>
    <row r="130" spans="1:16" x14ac:dyDescent="0.3">
      <c r="A130" s="47"/>
      <c r="B130" s="48"/>
      <c r="C130" s="40"/>
      <c r="D130" s="40"/>
      <c r="E130" s="40"/>
      <c r="F130" s="40"/>
      <c r="G130" s="40"/>
      <c r="H130" s="40"/>
      <c r="I130" s="49"/>
      <c r="J130" s="48"/>
      <c r="K130" s="48"/>
      <c r="L130" s="40"/>
      <c r="M130" s="40"/>
      <c r="N130" s="40"/>
      <c r="O130" s="40"/>
      <c r="P130" s="40"/>
    </row>
    <row r="131" spans="1:16" x14ac:dyDescent="0.3">
      <c r="A131" s="47"/>
      <c r="B131" s="48"/>
      <c r="C131" s="40"/>
      <c r="D131" s="40"/>
      <c r="E131" s="40"/>
      <c r="F131" s="40"/>
      <c r="G131" s="40"/>
      <c r="H131" s="40"/>
      <c r="I131" s="49"/>
      <c r="J131" s="48"/>
      <c r="K131" s="48"/>
      <c r="L131" s="40"/>
      <c r="M131" s="40"/>
      <c r="N131" s="40"/>
      <c r="O131" s="40"/>
      <c r="P131" s="40"/>
    </row>
    <row r="132" spans="1:16" x14ac:dyDescent="0.3">
      <c r="A132" s="47"/>
      <c r="B132" s="48"/>
      <c r="C132" s="40"/>
      <c r="D132" s="40"/>
      <c r="E132" s="40"/>
      <c r="F132" s="40"/>
      <c r="G132" s="40"/>
      <c r="H132" s="40"/>
      <c r="I132" s="49"/>
      <c r="J132" s="48"/>
      <c r="K132" s="48"/>
      <c r="L132" s="40"/>
      <c r="M132" s="40"/>
      <c r="N132" s="40"/>
      <c r="O132" s="40"/>
      <c r="P132" s="40"/>
    </row>
    <row r="133" spans="1:16" x14ac:dyDescent="0.3">
      <c r="A133" s="47"/>
      <c r="B133" s="48"/>
      <c r="C133" s="40"/>
      <c r="D133" s="40"/>
      <c r="E133" s="40"/>
      <c r="F133" s="40"/>
      <c r="G133" s="40"/>
      <c r="H133" s="40"/>
      <c r="I133" s="49"/>
      <c r="J133" s="48"/>
      <c r="K133" s="48"/>
      <c r="L133" s="40"/>
      <c r="M133" s="40"/>
      <c r="N133" s="40"/>
      <c r="O133" s="40"/>
      <c r="P133" s="40"/>
    </row>
    <row r="134" spans="1:16" x14ac:dyDescent="0.3">
      <c r="A134" s="47"/>
      <c r="B134" s="48"/>
      <c r="C134" s="40"/>
      <c r="D134" s="40"/>
      <c r="E134" s="40"/>
      <c r="F134" s="40"/>
      <c r="G134" s="40"/>
      <c r="H134" s="40"/>
      <c r="I134" s="49"/>
      <c r="J134" s="48"/>
      <c r="K134" s="48"/>
      <c r="L134" s="40"/>
      <c r="M134" s="40"/>
      <c r="N134" s="40"/>
      <c r="O134" s="40"/>
      <c r="P134" s="40"/>
    </row>
    <row r="135" spans="1:16" x14ac:dyDescent="0.3">
      <c r="A135" s="47"/>
      <c r="B135" s="48"/>
      <c r="C135" s="40"/>
      <c r="D135" s="40"/>
      <c r="E135" s="40"/>
      <c r="F135" s="40"/>
      <c r="G135" s="40"/>
      <c r="H135" s="40"/>
      <c r="I135" s="49"/>
      <c r="J135" s="48"/>
      <c r="K135" s="48"/>
      <c r="L135" s="40"/>
      <c r="M135" s="40"/>
      <c r="N135" s="40"/>
      <c r="O135" s="40"/>
      <c r="P135" s="40"/>
    </row>
    <row r="136" spans="1:16" x14ac:dyDescent="0.3">
      <c r="A136" s="47"/>
      <c r="B136" s="48"/>
      <c r="C136" s="40"/>
      <c r="D136" s="40"/>
      <c r="E136" s="40"/>
      <c r="F136" s="40"/>
      <c r="G136" s="40"/>
      <c r="H136" s="40"/>
      <c r="I136" s="49"/>
      <c r="J136" s="48"/>
      <c r="K136" s="48"/>
      <c r="L136" s="40"/>
      <c r="M136" s="40"/>
      <c r="N136" s="40"/>
      <c r="O136" s="40"/>
      <c r="P136" s="40"/>
    </row>
    <row r="137" spans="1:16" x14ac:dyDescent="0.3">
      <c r="A137" s="47"/>
      <c r="B137" s="47"/>
      <c r="C137" s="36"/>
      <c r="D137" s="36"/>
      <c r="E137" s="36"/>
      <c r="F137" s="36"/>
      <c r="G137" s="36"/>
      <c r="H137" s="36"/>
      <c r="I137" s="50"/>
      <c r="J137" s="47"/>
      <c r="K137" s="47"/>
      <c r="L137" s="36"/>
      <c r="M137" s="36"/>
      <c r="N137" s="36"/>
      <c r="O137" s="36"/>
      <c r="P137" s="36"/>
    </row>
    <row r="138" spans="1:16" x14ac:dyDescent="0.3">
      <c r="A138" s="47"/>
      <c r="B138" s="47"/>
      <c r="C138" s="36"/>
      <c r="D138" s="36"/>
      <c r="E138" s="36"/>
      <c r="F138" s="36"/>
      <c r="G138" s="36"/>
      <c r="H138" s="36"/>
      <c r="I138" s="50"/>
      <c r="J138" s="47"/>
      <c r="K138" s="47"/>
      <c r="L138" s="36"/>
      <c r="M138" s="36"/>
      <c r="N138" s="36"/>
      <c r="O138" s="36"/>
      <c r="P138" s="36"/>
    </row>
    <row r="139" spans="1:16" x14ac:dyDescent="0.3">
      <c r="A139" s="47"/>
      <c r="B139" s="48"/>
      <c r="C139" s="40"/>
      <c r="D139" s="40"/>
      <c r="E139" s="40"/>
      <c r="F139" s="40"/>
      <c r="G139" s="40"/>
      <c r="H139" s="40"/>
      <c r="I139" s="49"/>
      <c r="J139" s="47"/>
      <c r="K139" s="47"/>
      <c r="L139" s="36"/>
      <c r="M139" s="36"/>
      <c r="N139" s="36"/>
      <c r="O139" s="36"/>
      <c r="P139" s="36"/>
    </row>
    <row r="140" spans="1:16" x14ac:dyDescent="0.3">
      <c r="A140" s="47"/>
      <c r="B140" s="48"/>
      <c r="C140" s="40"/>
      <c r="D140" s="40"/>
      <c r="E140" s="40"/>
      <c r="F140" s="40"/>
      <c r="G140" s="40"/>
      <c r="H140" s="40"/>
      <c r="I140" s="49"/>
      <c r="J140" s="47"/>
      <c r="K140" s="47"/>
      <c r="L140" s="36"/>
      <c r="M140" s="36"/>
      <c r="N140" s="36"/>
      <c r="O140" s="36"/>
      <c r="P140" s="36"/>
    </row>
    <row r="141" spans="1:16" x14ac:dyDescent="0.3">
      <c r="A141" s="47"/>
      <c r="B141" s="48"/>
      <c r="C141" s="40"/>
      <c r="D141" s="40"/>
      <c r="E141" s="40"/>
      <c r="F141" s="40"/>
      <c r="G141" s="40"/>
      <c r="H141" s="40"/>
      <c r="I141" s="49"/>
      <c r="J141" s="47"/>
      <c r="K141" s="47"/>
      <c r="L141" s="36"/>
      <c r="M141" s="36"/>
      <c r="N141" s="36"/>
      <c r="O141" s="36"/>
      <c r="P141" s="36"/>
    </row>
    <row r="142" spans="1:16" x14ac:dyDescent="0.3">
      <c r="A142" s="47"/>
      <c r="B142" s="48"/>
      <c r="C142" s="40"/>
      <c r="D142" s="40"/>
      <c r="E142" s="40"/>
      <c r="F142" s="40"/>
      <c r="G142" s="40"/>
      <c r="H142" s="40"/>
      <c r="I142" s="49"/>
      <c r="J142" s="47"/>
      <c r="K142" s="47"/>
      <c r="L142" s="36"/>
      <c r="M142" s="36"/>
      <c r="N142" s="36"/>
      <c r="O142" s="36"/>
      <c r="P142" s="36"/>
    </row>
    <row r="143" spans="1:16" x14ac:dyDescent="0.3">
      <c r="A143" s="47"/>
      <c r="B143" s="48"/>
      <c r="C143" s="40"/>
      <c r="D143" s="40"/>
      <c r="E143" s="40"/>
      <c r="F143" s="40"/>
      <c r="G143" s="40"/>
      <c r="H143" s="40"/>
      <c r="I143" s="49"/>
      <c r="J143" s="47"/>
      <c r="K143" s="47"/>
      <c r="L143" s="36"/>
      <c r="M143" s="36"/>
      <c r="N143" s="36"/>
      <c r="O143" s="36"/>
      <c r="P143" s="36"/>
    </row>
    <row r="144" spans="1:16" x14ac:dyDescent="0.3">
      <c r="A144" s="47"/>
      <c r="B144" s="48"/>
      <c r="C144" s="40"/>
      <c r="D144" s="40"/>
      <c r="E144" s="40"/>
      <c r="F144" s="40"/>
      <c r="G144" s="40"/>
      <c r="H144" s="40"/>
      <c r="I144" s="49"/>
      <c r="J144" s="47"/>
      <c r="K144" s="47"/>
      <c r="L144" s="36"/>
      <c r="M144" s="36"/>
      <c r="N144" s="36"/>
      <c r="O144" s="36"/>
      <c r="P144" s="36"/>
    </row>
    <row r="145" spans="1:16" x14ac:dyDescent="0.3">
      <c r="A145" s="47"/>
      <c r="B145" s="48"/>
      <c r="C145" s="40"/>
      <c r="D145" s="40"/>
      <c r="E145" s="40"/>
      <c r="F145" s="40"/>
      <c r="G145" s="40"/>
      <c r="H145" s="40"/>
      <c r="I145" s="49"/>
      <c r="J145" s="47"/>
      <c r="K145" s="47"/>
      <c r="L145" s="36"/>
      <c r="M145" s="36"/>
      <c r="N145" s="36"/>
      <c r="O145" s="36"/>
      <c r="P145" s="36"/>
    </row>
    <row r="146" spans="1:16" x14ac:dyDescent="0.3">
      <c r="A146" s="47"/>
      <c r="B146" s="48"/>
      <c r="C146" s="40"/>
      <c r="D146" s="40"/>
      <c r="E146" s="40"/>
      <c r="F146" s="40"/>
      <c r="G146" s="40"/>
      <c r="H146" s="40"/>
      <c r="I146" s="49"/>
      <c r="J146" s="47"/>
      <c r="K146" s="47"/>
      <c r="L146" s="36"/>
      <c r="M146" s="36"/>
      <c r="N146" s="36"/>
      <c r="O146" s="36"/>
      <c r="P146" s="36"/>
    </row>
  </sheetData>
  <pageMargins left="0.7" right="0.7" top="0.75" bottom="0.75" header="0.3" footer="0.3"/>
  <pageSetup paperSize="9" orientation="portrait" horizont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64A3-C9FC-4E92-BCA3-31E641FB900F}">
  <dimension ref="A1:AT31"/>
  <sheetViews>
    <sheetView workbookViewId="0">
      <pane xSplit="1" topLeftCell="AP1" activePane="topRight" state="frozen"/>
      <selection pane="topRight" activeCell="AU19" sqref="AU19"/>
    </sheetView>
  </sheetViews>
  <sheetFormatPr defaultRowHeight="14.4" x14ac:dyDescent="0.3"/>
  <cols>
    <col min="1" max="28" width="8.88671875" style="9"/>
    <col min="29" max="29" width="17.88671875" style="9" customWidth="1"/>
    <col min="30" max="16384" width="8.88671875" style="9"/>
  </cols>
  <sheetData>
    <row r="1" spans="1:46" ht="15" thickBot="1" x14ac:dyDescent="0.35">
      <c r="A1" s="9" t="s">
        <v>75</v>
      </c>
      <c r="B1" s="9" t="s">
        <v>56</v>
      </c>
      <c r="C1" s="72" t="s">
        <v>94</v>
      </c>
      <c r="D1" s="72" t="s">
        <v>236</v>
      </c>
      <c r="E1" s="72" t="s">
        <v>237</v>
      </c>
      <c r="F1" s="72">
        <v>644</v>
      </c>
      <c r="G1" s="72">
        <v>662</v>
      </c>
      <c r="H1" s="72" t="s">
        <v>238</v>
      </c>
      <c r="I1" s="72" t="s">
        <v>239</v>
      </c>
      <c r="J1" s="72" t="s">
        <v>240</v>
      </c>
      <c r="K1" s="73" t="s">
        <v>241</v>
      </c>
      <c r="L1" s="73" t="s">
        <v>242</v>
      </c>
      <c r="M1" s="73" t="s">
        <v>251</v>
      </c>
      <c r="N1" s="73" t="s">
        <v>243</v>
      </c>
      <c r="O1" s="72" t="s">
        <v>131</v>
      </c>
      <c r="P1" s="72" t="s">
        <v>94</v>
      </c>
      <c r="Q1" s="72" t="s">
        <v>236</v>
      </c>
      <c r="R1" s="72">
        <v>440</v>
      </c>
      <c r="S1" s="72">
        <v>644</v>
      </c>
      <c r="T1" s="72">
        <v>662</v>
      </c>
      <c r="U1" s="72" t="s">
        <v>238</v>
      </c>
      <c r="V1" s="72" t="s">
        <v>239</v>
      </c>
      <c r="W1" s="72" t="s">
        <v>240</v>
      </c>
      <c r="X1" s="73" t="s">
        <v>241</v>
      </c>
      <c r="Y1" s="73" t="s">
        <v>242</v>
      </c>
      <c r="Z1" s="73" t="s">
        <v>251</v>
      </c>
      <c r="AA1" s="73" t="s">
        <v>243</v>
      </c>
      <c r="AC1" t="s">
        <v>247</v>
      </c>
      <c r="AD1" t="s">
        <v>236</v>
      </c>
      <c r="AE1" t="s">
        <v>244</v>
      </c>
      <c r="AF1" t="s">
        <v>245</v>
      </c>
      <c r="AG1" t="s">
        <v>246</v>
      </c>
      <c r="AI1" t="s">
        <v>94</v>
      </c>
      <c r="AJ1" t="s">
        <v>252</v>
      </c>
      <c r="AK1" t="s">
        <v>131</v>
      </c>
      <c r="AL1" t="s">
        <v>94</v>
      </c>
      <c r="AM1" t="s">
        <v>252</v>
      </c>
      <c r="AO1" t="s">
        <v>94</v>
      </c>
      <c r="AP1" t="s">
        <v>253</v>
      </c>
      <c r="AQ1" t="s">
        <v>131</v>
      </c>
      <c r="AR1" t="s">
        <v>94</v>
      </c>
      <c r="AS1" t="s">
        <v>248</v>
      </c>
      <c r="AT1"/>
    </row>
    <row r="2" spans="1:46" ht="15" thickBot="1" x14ac:dyDescent="0.35">
      <c r="A2" t="s">
        <v>65</v>
      </c>
      <c r="B2" s="7">
        <v>1</v>
      </c>
      <c r="C2" s="74">
        <v>1</v>
      </c>
      <c r="D2" s="75">
        <v>0.1</v>
      </c>
      <c r="E2" s="75">
        <v>0.36</v>
      </c>
      <c r="F2">
        <v>0.06</v>
      </c>
      <c r="G2">
        <v>0.17199999999999999</v>
      </c>
      <c r="H2">
        <f>9.78*G2-0.99*F2</f>
        <v>1.6227599999999998</v>
      </c>
      <c r="I2">
        <f>21.43*F2-4.65*G2</f>
        <v>0.48599999999999988</v>
      </c>
      <c r="J2">
        <f>4.7*E2-0.27*(1.38*G2+5.48*F2)</f>
        <v>1.5391367999999999</v>
      </c>
      <c r="K2" s="2">
        <f>0.1*H2*25/0.1</f>
        <v>40.568999999999996</v>
      </c>
      <c r="L2" s="2">
        <f>0.1*I2*25/0.1</f>
        <v>12.149999999999999</v>
      </c>
      <c r="M2" s="2">
        <f>SUM(K2:L2)</f>
        <v>52.718999999999994</v>
      </c>
      <c r="N2" s="2">
        <f t="shared" ref="N2:N31" si="0">0.1*J2*25/0.1</f>
        <v>38.47842</v>
      </c>
      <c r="O2"/>
      <c r="P2" s="74">
        <v>1</v>
      </c>
      <c r="Q2" s="75">
        <v>0.1</v>
      </c>
      <c r="R2">
        <v>0.36099999999999999</v>
      </c>
      <c r="S2">
        <v>6.3E-2</v>
      </c>
      <c r="T2">
        <v>0.17199999999999999</v>
      </c>
      <c r="U2">
        <f>9.78*T2-0.99*S2</f>
        <v>1.6197899999999996</v>
      </c>
      <c r="V2">
        <f>21.43*S2-4.65*T2</f>
        <v>0.55029000000000006</v>
      </c>
      <c r="W2">
        <f>4.7*R2-0.27*(1.38*T2+5.48*S2)</f>
        <v>1.539398</v>
      </c>
      <c r="X2" s="2">
        <f>0.1*U2*25/0.1</f>
        <v>40.494749999999989</v>
      </c>
      <c r="Y2" s="2">
        <f>0.1*V2*25/0.1</f>
        <v>13.757250000000003</v>
      </c>
      <c r="Z2" s="2">
        <f>SUM(X2:Y2)</f>
        <v>54.251999999999995</v>
      </c>
      <c r="AA2" s="2">
        <f t="shared" ref="AA2:AA31" si="1">0.1*W2*25/0.1</f>
        <v>38.484949999999998</v>
      </c>
      <c r="AC2" s="74">
        <v>1</v>
      </c>
      <c r="AD2">
        <v>2</v>
      </c>
      <c r="AE2">
        <v>20</v>
      </c>
      <c r="AF2">
        <v>0</v>
      </c>
      <c r="AG2">
        <v>0</v>
      </c>
      <c r="AI2" s="74">
        <v>1</v>
      </c>
      <c r="AJ2">
        <v>3.4</v>
      </c>
      <c r="AK2"/>
      <c r="AL2" s="74">
        <v>1</v>
      </c>
      <c r="AM2">
        <v>2.2999999999999998</v>
      </c>
      <c r="AO2" s="74">
        <v>1</v>
      </c>
      <c r="AP2" s="2">
        <v>9.2899999999999991</v>
      </c>
      <c r="AQ2"/>
      <c r="AR2" s="74">
        <v>1</v>
      </c>
      <c r="AS2" s="2">
        <v>15.6</v>
      </c>
      <c r="AT2"/>
    </row>
    <row r="3" spans="1:46" ht="15" thickBot="1" x14ac:dyDescent="0.35">
      <c r="A3"/>
      <c r="B3" s="9">
        <v>2</v>
      </c>
      <c r="C3" s="76">
        <v>2</v>
      </c>
      <c r="D3" s="76">
        <v>0.1</v>
      </c>
      <c r="E3" s="76">
        <v>0.51</v>
      </c>
      <c r="F3" s="77">
        <v>8.6999999999999994E-2</v>
      </c>
      <c r="G3" s="77">
        <v>0.247</v>
      </c>
      <c r="H3">
        <f t="shared" ref="H3:H31" si="2">9.78*G3-0.99*F3</f>
        <v>2.3295300000000001</v>
      </c>
      <c r="I3">
        <f t="shared" ref="I3:I31" si="3">21.43*F3-4.65*G3</f>
        <v>0.71585999999999972</v>
      </c>
      <c r="J3">
        <f t="shared" ref="J3:J31" si="4">4.7*E3-0.27*(1.38*G3+5.48*F3)</f>
        <v>2.1762426000000001</v>
      </c>
      <c r="K3" s="2">
        <f t="shared" ref="K3:L31" si="5">0.1*H3*25/0.1</f>
        <v>58.238250000000001</v>
      </c>
      <c r="L3" s="2">
        <f t="shared" si="5"/>
        <v>17.896499999999993</v>
      </c>
      <c r="M3" s="2">
        <f t="shared" ref="M3:M31" si="6">SUM(K3:L3)</f>
        <v>76.134749999999997</v>
      </c>
      <c r="N3" s="2">
        <f t="shared" si="0"/>
        <v>54.406064999999998</v>
      </c>
      <c r="O3"/>
      <c r="P3" s="76">
        <v>2</v>
      </c>
      <c r="Q3" s="76">
        <v>0.1</v>
      </c>
      <c r="R3">
        <v>0.19900000000000001</v>
      </c>
      <c r="S3">
        <v>3.6999999999999998E-2</v>
      </c>
      <c r="T3">
        <v>9.4E-2</v>
      </c>
      <c r="U3">
        <f t="shared" ref="U3:U31" si="7">9.78*T3-0.99*S3</f>
        <v>0.88268999999999997</v>
      </c>
      <c r="V3">
        <f t="shared" ref="V3:V31" si="8">21.43*S3-4.65*T3</f>
        <v>0.35580999999999996</v>
      </c>
      <c r="W3">
        <f t="shared" ref="W3:W31" si="9">4.7*R3-0.27*(1.38*T3+5.48*S3)</f>
        <v>0.84553040000000013</v>
      </c>
      <c r="X3" s="2">
        <f t="shared" ref="X3:Y31" si="10">0.1*U3*25/0.1</f>
        <v>22.067249999999998</v>
      </c>
      <c r="Y3" s="2">
        <f t="shared" si="10"/>
        <v>8.895249999999999</v>
      </c>
      <c r="Z3" s="2">
        <f t="shared" ref="Z3:Z31" si="11">SUM(X3:Y3)</f>
        <v>30.962499999999999</v>
      </c>
      <c r="AA3" s="2">
        <f t="shared" si="1"/>
        <v>21.138260000000002</v>
      </c>
      <c r="AC3" s="76">
        <v>2</v>
      </c>
      <c r="AD3">
        <v>2</v>
      </c>
      <c r="AE3">
        <v>20</v>
      </c>
      <c r="AF3">
        <v>0.43</v>
      </c>
      <c r="AG3">
        <f>(AF3-0.26)*1000/40</f>
        <v>4.2499999999999991</v>
      </c>
      <c r="AI3" s="76">
        <v>2</v>
      </c>
      <c r="AJ3">
        <v>4.0999999999999996</v>
      </c>
      <c r="AK3"/>
      <c r="AL3" s="76">
        <v>2</v>
      </c>
      <c r="AM3">
        <v>2.2000000000000002</v>
      </c>
      <c r="AO3" s="76">
        <v>2</v>
      </c>
      <c r="AP3" s="2">
        <v>4.28</v>
      </c>
      <c r="AQ3"/>
      <c r="AR3" s="76">
        <v>2</v>
      </c>
      <c r="AS3" s="2">
        <v>11.3</v>
      </c>
      <c r="AT3"/>
    </row>
    <row r="4" spans="1:46" ht="15" thickBot="1" x14ac:dyDescent="0.35">
      <c r="A4"/>
      <c r="B4">
        <v>3</v>
      </c>
      <c r="C4" s="76">
        <v>3</v>
      </c>
      <c r="D4" s="76">
        <v>0.1</v>
      </c>
      <c r="E4" s="76">
        <v>0.40799999999999997</v>
      </c>
      <c r="F4" s="77">
        <v>6.9000000000000006E-2</v>
      </c>
      <c r="G4" s="77">
        <v>0.19700000000000001</v>
      </c>
      <c r="H4">
        <f t="shared" si="2"/>
        <v>1.8583499999999999</v>
      </c>
      <c r="I4">
        <f t="shared" si="3"/>
        <v>0.56262000000000001</v>
      </c>
      <c r="J4">
        <f t="shared" si="4"/>
        <v>1.7421054</v>
      </c>
      <c r="K4" s="2">
        <f t="shared" si="5"/>
        <v>46.458750000000002</v>
      </c>
      <c r="L4" s="2">
        <f t="shared" si="5"/>
        <v>14.065500000000002</v>
      </c>
      <c r="M4" s="2">
        <f t="shared" si="6"/>
        <v>60.524250000000002</v>
      </c>
      <c r="N4" s="2">
        <f t="shared" si="0"/>
        <v>43.552635000000002</v>
      </c>
      <c r="O4"/>
      <c r="P4" s="76">
        <v>3</v>
      </c>
      <c r="Q4" s="76">
        <v>0.1</v>
      </c>
      <c r="R4">
        <v>0.215</v>
      </c>
      <c r="S4">
        <v>3.9E-2</v>
      </c>
      <c r="T4">
        <v>0.10299999999999999</v>
      </c>
      <c r="U4">
        <f t="shared" si="7"/>
        <v>0.96872999999999987</v>
      </c>
      <c r="V4">
        <f t="shared" si="8"/>
        <v>0.35682000000000003</v>
      </c>
      <c r="W4">
        <f t="shared" si="9"/>
        <v>0.91441779999999995</v>
      </c>
      <c r="X4" s="2">
        <f t="shared" si="10"/>
        <v>24.218249999999994</v>
      </c>
      <c r="Y4" s="2">
        <f t="shared" si="10"/>
        <v>8.9205000000000005</v>
      </c>
      <c r="Z4" s="2">
        <f t="shared" si="11"/>
        <v>33.138749999999995</v>
      </c>
      <c r="AA4" s="2">
        <f t="shared" si="1"/>
        <v>22.860444999999999</v>
      </c>
      <c r="AC4" s="76">
        <v>3</v>
      </c>
      <c r="AD4">
        <v>2</v>
      </c>
      <c r="AE4">
        <v>20</v>
      </c>
      <c r="AF4">
        <v>0.4</v>
      </c>
      <c r="AG4">
        <f t="shared" ref="AG4:AG31" si="12">(AF4-0.26)*1000/40</f>
        <v>3.5</v>
      </c>
      <c r="AI4" s="76">
        <v>3</v>
      </c>
      <c r="AJ4">
        <v>4.8</v>
      </c>
      <c r="AK4"/>
      <c r="AL4" s="76">
        <v>3</v>
      </c>
      <c r="AM4">
        <v>3</v>
      </c>
      <c r="AO4" s="76">
        <v>3</v>
      </c>
      <c r="AP4" s="2">
        <v>2.75</v>
      </c>
      <c r="AQ4"/>
      <c r="AR4" s="76">
        <v>3</v>
      </c>
      <c r="AS4" s="2">
        <v>12.7</v>
      </c>
      <c r="AT4"/>
    </row>
    <row r="5" spans="1:46" ht="15" thickBot="1" x14ac:dyDescent="0.35">
      <c r="A5"/>
      <c r="B5">
        <v>4</v>
      </c>
      <c r="C5" s="76">
        <v>4</v>
      </c>
      <c r="D5" s="76">
        <v>0.1</v>
      </c>
      <c r="E5" s="76">
        <v>0.114</v>
      </c>
      <c r="F5" s="77">
        <v>1.7999999999999999E-2</v>
      </c>
      <c r="G5" s="78">
        <v>5.6000000000000001E-2</v>
      </c>
      <c r="H5">
        <f t="shared" si="2"/>
        <v>0.52986</v>
      </c>
      <c r="I5">
        <f t="shared" si="3"/>
        <v>0.12533999999999995</v>
      </c>
      <c r="J5">
        <f t="shared" si="4"/>
        <v>0.48830160000000006</v>
      </c>
      <c r="K5" s="2">
        <f t="shared" si="5"/>
        <v>13.246500000000001</v>
      </c>
      <c r="L5" s="2">
        <f t="shared" si="5"/>
        <v>3.1334999999999988</v>
      </c>
      <c r="M5" s="2">
        <f t="shared" si="6"/>
        <v>16.38</v>
      </c>
      <c r="N5" s="2">
        <f t="shared" si="0"/>
        <v>12.207540000000003</v>
      </c>
      <c r="O5"/>
      <c r="P5" s="76">
        <v>4</v>
      </c>
      <c r="Q5" s="76">
        <v>0.1</v>
      </c>
      <c r="R5">
        <v>0.23599999999999999</v>
      </c>
      <c r="S5">
        <v>4.3999999999999997E-2</v>
      </c>
      <c r="T5">
        <v>0.112</v>
      </c>
      <c r="U5">
        <f t="shared" si="7"/>
        <v>1.0517999999999998</v>
      </c>
      <c r="V5">
        <f t="shared" si="8"/>
        <v>0.42211999999999994</v>
      </c>
      <c r="W5">
        <f t="shared" si="9"/>
        <v>1.0023663999999999</v>
      </c>
      <c r="X5" s="2">
        <f t="shared" si="10"/>
        <v>26.294999999999995</v>
      </c>
      <c r="Y5" s="2">
        <f t="shared" si="10"/>
        <v>10.552999999999999</v>
      </c>
      <c r="Z5" s="2">
        <f t="shared" si="11"/>
        <v>36.847999999999992</v>
      </c>
      <c r="AA5" s="2">
        <f t="shared" si="1"/>
        <v>25.059159999999995</v>
      </c>
      <c r="AC5" s="76">
        <v>4</v>
      </c>
      <c r="AD5">
        <v>2</v>
      </c>
      <c r="AE5">
        <v>20</v>
      </c>
      <c r="AF5">
        <v>0.38</v>
      </c>
      <c r="AG5">
        <f t="shared" si="12"/>
        <v>3</v>
      </c>
      <c r="AI5" s="76">
        <v>4</v>
      </c>
      <c r="AJ5">
        <v>5.0999999999999996</v>
      </c>
      <c r="AK5"/>
      <c r="AL5" s="76">
        <v>4</v>
      </c>
      <c r="AM5">
        <v>3.2</v>
      </c>
      <c r="AO5" s="76">
        <v>4</v>
      </c>
      <c r="AP5" s="2">
        <v>3.88</v>
      </c>
      <c r="AQ5"/>
      <c r="AR5" s="76">
        <v>4</v>
      </c>
      <c r="AS5" s="2">
        <v>6</v>
      </c>
      <c r="AT5"/>
    </row>
    <row r="6" spans="1:46" ht="15" thickBot="1" x14ac:dyDescent="0.35">
      <c r="A6"/>
      <c r="B6">
        <v>5</v>
      </c>
      <c r="C6" s="76">
        <v>5</v>
      </c>
      <c r="D6" s="76">
        <v>0.1</v>
      </c>
      <c r="E6" s="76">
        <v>0.38900000000000001</v>
      </c>
      <c r="F6" s="78">
        <v>6.3E-2</v>
      </c>
      <c r="G6" s="79">
        <v>0.182</v>
      </c>
      <c r="H6">
        <f t="shared" si="2"/>
        <v>1.7175899999999997</v>
      </c>
      <c r="I6">
        <f t="shared" si="3"/>
        <v>0.50378999999999996</v>
      </c>
      <c r="J6">
        <f t="shared" si="4"/>
        <v>1.6672720000000001</v>
      </c>
      <c r="K6" s="2">
        <f t="shared" si="5"/>
        <v>42.939749999999997</v>
      </c>
      <c r="L6" s="2">
        <f t="shared" si="5"/>
        <v>12.594749999999998</v>
      </c>
      <c r="M6" s="2">
        <f t="shared" si="6"/>
        <v>55.534499999999994</v>
      </c>
      <c r="N6" s="2">
        <f t="shared" si="0"/>
        <v>41.681800000000003</v>
      </c>
      <c r="O6"/>
      <c r="P6" s="76">
        <v>5</v>
      </c>
      <c r="Q6" s="76">
        <v>0.1</v>
      </c>
      <c r="R6">
        <v>0.253</v>
      </c>
      <c r="S6">
        <v>4.3999999999999997E-2</v>
      </c>
      <c r="T6">
        <v>0.11899999999999999</v>
      </c>
      <c r="U6">
        <f t="shared" si="7"/>
        <v>1.1202599999999998</v>
      </c>
      <c r="V6">
        <f t="shared" si="8"/>
        <v>0.38956999999999997</v>
      </c>
      <c r="W6">
        <f t="shared" si="9"/>
        <v>1.0796582000000001</v>
      </c>
      <c r="X6" s="2">
        <f t="shared" si="10"/>
        <v>28.006499999999996</v>
      </c>
      <c r="Y6" s="2">
        <f t="shared" si="10"/>
        <v>9.7392499999999984</v>
      </c>
      <c r="Z6" s="2">
        <f t="shared" si="11"/>
        <v>37.745749999999994</v>
      </c>
      <c r="AA6" s="2">
        <f t="shared" si="1"/>
        <v>26.991455000000006</v>
      </c>
      <c r="AC6" s="76">
        <v>5</v>
      </c>
      <c r="AD6">
        <v>2</v>
      </c>
      <c r="AE6">
        <v>20</v>
      </c>
      <c r="AF6">
        <v>0.38</v>
      </c>
      <c r="AG6">
        <f t="shared" si="12"/>
        <v>3</v>
      </c>
      <c r="AI6" s="76">
        <v>5</v>
      </c>
      <c r="AJ6">
        <v>4.0999999999999996</v>
      </c>
      <c r="AK6"/>
      <c r="AL6" s="76">
        <v>5</v>
      </c>
      <c r="AM6">
        <v>2.9</v>
      </c>
      <c r="AO6" s="76">
        <v>5</v>
      </c>
      <c r="AP6" s="2">
        <v>3.81</v>
      </c>
      <c r="AQ6"/>
      <c r="AR6" s="76">
        <v>5</v>
      </c>
      <c r="AS6" s="2">
        <v>5.81</v>
      </c>
      <c r="AT6"/>
    </row>
    <row r="7" spans="1:46" ht="15" thickBot="1" x14ac:dyDescent="0.35">
      <c r="A7" t="s">
        <v>66</v>
      </c>
      <c r="B7" s="7">
        <v>1</v>
      </c>
      <c r="C7" s="76">
        <v>6</v>
      </c>
      <c r="D7" s="76">
        <v>0.1</v>
      </c>
      <c r="E7" s="76">
        <v>0.753</v>
      </c>
      <c r="F7" s="78">
        <v>0.129</v>
      </c>
      <c r="G7" s="79">
        <v>0.34399999999999997</v>
      </c>
      <c r="H7">
        <f t="shared" si="2"/>
        <v>3.2366099999999993</v>
      </c>
      <c r="I7">
        <f t="shared" si="3"/>
        <v>1.1648700000000003</v>
      </c>
      <c r="J7">
        <f t="shared" si="4"/>
        <v>3.2200572000000003</v>
      </c>
      <c r="K7" s="2">
        <f t="shared" si="5"/>
        <v>80.915249999999986</v>
      </c>
      <c r="L7" s="2">
        <f t="shared" si="5"/>
        <v>29.121750000000006</v>
      </c>
      <c r="M7" s="2">
        <f t="shared" si="6"/>
        <v>110.03699999999999</v>
      </c>
      <c r="N7" s="2">
        <f t="shared" si="0"/>
        <v>80.501430000000013</v>
      </c>
      <c r="O7"/>
      <c r="P7" s="76">
        <v>6</v>
      </c>
      <c r="Q7" s="76">
        <v>0.1</v>
      </c>
      <c r="R7">
        <v>0.71499999999999997</v>
      </c>
      <c r="S7">
        <v>0.13</v>
      </c>
      <c r="T7">
        <v>0.34599999999999997</v>
      </c>
      <c r="U7">
        <f t="shared" si="7"/>
        <v>3.2551799999999997</v>
      </c>
      <c r="V7">
        <f t="shared" si="8"/>
        <v>1.1770000000000003</v>
      </c>
      <c r="W7">
        <f t="shared" si="9"/>
        <v>3.0392323999999999</v>
      </c>
      <c r="X7" s="2">
        <f t="shared" si="10"/>
        <v>81.379499999999993</v>
      </c>
      <c r="Y7" s="2">
        <f t="shared" si="10"/>
        <v>29.425000000000008</v>
      </c>
      <c r="Z7" s="2">
        <f t="shared" si="11"/>
        <v>110.8045</v>
      </c>
      <c r="AA7" s="2">
        <f t="shared" si="1"/>
        <v>75.980810000000005</v>
      </c>
      <c r="AC7" s="76">
        <v>6</v>
      </c>
      <c r="AD7">
        <v>2</v>
      </c>
      <c r="AE7">
        <v>20</v>
      </c>
      <c r="AF7">
        <v>0</v>
      </c>
      <c r="AG7">
        <v>0</v>
      </c>
      <c r="AI7" s="76">
        <v>6</v>
      </c>
      <c r="AJ7">
        <v>4.2</v>
      </c>
      <c r="AK7"/>
      <c r="AL7" s="76">
        <v>6</v>
      </c>
      <c r="AM7">
        <v>3.5</v>
      </c>
      <c r="AO7" s="76">
        <v>6</v>
      </c>
      <c r="AP7" s="2">
        <v>5.81</v>
      </c>
      <c r="AQ7"/>
      <c r="AR7" s="76">
        <v>6</v>
      </c>
      <c r="AS7" s="2">
        <v>4.41</v>
      </c>
      <c r="AT7"/>
    </row>
    <row r="8" spans="1:46" ht="15" thickBot="1" x14ac:dyDescent="0.35">
      <c r="A8"/>
      <c r="B8" s="9">
        <v>2</v>
      </c>
      <c r="C8" s="76">
        <v>7</v>
      </c>
      <c r="D8" s="76">
        <v>0.1</v>
      </c>
      <c r="E8" s="76">
        <v>1.117</v>
      </c>
      <c r="F8" s="78">
        <v>0.185</v>
      </c>
      <c r="G8" s="79">
        <v>0.52900000000000003</v>
      </c>
      <c r="H8">
        <f t="shared" si="2"/>
        <v>4.9904699999999993</v>
      </c>
      <c r="I8">
        <f t="shared" si="3"/>
        <v>1.5046999999999997</v>
      </c>
      <c r="J8">
        <f t="shared" si="4"/>
        <v>4.7790686000000004</v>
      </c>
      <c r="K8" s="2">
        <f t="shared" si="5"/>
        <v>124.76174999999999</v>
      </c>
      <c r="L8" s="2">
        <f t="shared" si="5"/>
        <v>37.617499999999993</v>
      </c>
      <c r="M8" s="2">
        <f t="shared" si="6"/>
        <v>162.37924999999998</v>
      </c>
      <c r="N8" s="2">
        <f t="shared" si="0"/>
        <v>119.47671500000001</v>
      </c>
      <c r="O8"/>
      <c r="P8" s="76">
        <v>7</v>
      </c>
      <c r="Q8" s="76">
        <v>0.1</v>
      </c>
      <c r="R8">
        <v>4.8000000000000001E-2</v>
      </c>
      <c r="S8">
        <v>0.06</v>
      </c>
      <c r="T8">
        <v>0.16500000000000001</v>
      </c>
      <c r="U8">
        <f t="shared" si="7"/>
        <v>1.5543</v>
      </c>
      <c r="V8">
        <f t="shared" si="8"/>
        <v>0.51854999999999973</v>
      </c>
      <c r="W8">
        <f t="shared" si="9"/>
        <v>7.5345000000000023E-2</v>
      </c>
      <c r="X8" s="2">
        <f t="shared" si="10"/>
        <v>38.857500000000002</v>
      </c>
      <c r="Y8" s="2">
        <f t="shared" si="10"/>
        <v>12.963749999999994</v>
      </c>
      <c r="Z8" s="2">
        <f t="shared" si="11"/>
        <v>51.821249999999992</v>
      </c>
      <c r="AA8" s="2">
        <f t="shared" si="1"/>
        <v>1.8836250000000005</v>
      </c>
      <c r="AC8" s="76">
        <v>7</v>
      </c>
      <c r="AD8">
        <v>2</v>
      </c>
      <c r="AE8">
        <v>20</v>
      </c>
      <c r="AF8">
        <v>0.37</v>
      </c>
      <c r="AG8">
        <f t="shared" si="12"/>
        <v>2.7499999999999996</v>
      </c>
      <c r="AI8" s="76">
        <v>7</v>
      </c>
      <c r="AJ8">
        <v>4.4000000000000004</v>
      </c>
      <c r="AK8"/>
      <c r="AL8" s="76">
        <v>7</v>
      </c>
      <c r="AM8">
        <v>4</v>
      </c>
      <c r="AO8" s="76">
        <v>7</v>
      </c>
      <c r="AP8" s="2">
        <v>1.9</v>
      </c>
      <c r="AQ8"/>
      <c r="AR8" s="76">
        <v>7</v>
      </c>
      <c r="AS8" s="2">
        <v>3.65</v>
      </c>
      <c r="AT8"/>
    </row>
    <row r="9" spans="1:46" ht="15" thickBot="1" x14ac:dyDescent="0.35">
      <c r="A9"/>
      <c r="B9">
        <v>3</v>
      </c>
      <c r="C9" s="76">
        <v>8</v>
      </c>
      <c r="D9" s="76">
        <v>0.1</v>
      </c>
      <c r="E9" s="76">
        <v>0.63800000000000001</v>
      </c>
      <c r="F9" s="78">
        <v>0.111</v>
      </c>
      <c r="G9" s="79">
        <v>0.3</v>
      </c>
      <c r="H9">
        <f t="shared" si="2"/>
        <v>2.8241099999999997</v>
      </c>
      <c r="I9">
        <f t="shared" si="3"/>
        <v>0.98372999999999999</v>
      </c>
      <c r="J9">
        <f t="shared" si="4"/>
        <v>2.7225844000000001</v>
      </c>
      <c r="K9" s="2">
        <f t="shared" si="5"/>
        <v>70.602749999999986</v>
      </c>
      <c r="L9" s="2">
        <f t="shared" si="5"/>
        <v>24.593250000000001</v>
      </c>
      <c r="M9" s="2">
        <f t="shared" si="6"/>
        <v>95.195999999999984</v>
      </c>
      <c r="N9" s="2">
        <f t="shared" si="0"/>
        <v>68.064610000000016</v>
      </c>
      <c r="O9"/>
      <c r="P9" s="76">
        <v>8</v>
      </c>
      <c r="Q9" s="76">
        <v>0.1</v>
      </c>
      <c r="R9">
        <v>7.6999999999999999E-2</v>
      </c>
      <c r="S9">
        <v>1.4E-2</v>
      </c>
      <c r="T9">
        <v>3.6999999999999998E-2</v>
      </c>
      <c r="U9">
        <f t="shared" si="7"/>
        <v>0.34799999999999998</v>
      </c>
      <c r="V9">
        <f t="shared" si="8"/>
        <v>0.12797</v>
      </c>
      <c r="W9">
        <f t="shared" si="9"/>
        <v>0.32739940000000001</v>
      </c>
      <c r="X9" s="2">
        <f t="shared" si="10"/>
        <v>8.6999999999999975</v>
      </c>
      <c r="Y9" s="2">
        <f t="shared" si="10"/>
        <v>3.1992500000000001</v>
      </c>
      <c r="Z9" s="2">
        <f t="shared" si="11"/>
        <v>11.899249999999999</v>
      </c>
      <c r="AA9" s="2">
        <f t="shared" si="1"/>
        <v>8.1849849999999993</v>
      </c>
      <c r="AC9" s="76">
        <v>8</v>
      </c>
      <c r="AD9">
        <v>2</v>
      </c>
      <c r="AE9">
        <v>20</v>
      </c>
      <c r="AF9">
        <v>0.39</v>
      </c>
      <c r="AG9">
        <f t="shared" si="12"/>
        <v>3.25</v>
      </c>
      <c r="AI9" s="76">
        <v>8</v>
      </c>
      <c r="AJ9">
        <v>4.2</v>
      </c>
      <c r="AK9"/>
      <c r="AL9" s="76">
        <v>8</v>
      </c>
      <c r="AM9">
        <v>3.8</v>
      </c>
      <c r="AO9" s="76">
        <v>8</v>
      </c>
      <c r="AP9" s="2">
        <v>0.69799999999999995</v>
      </c>
      <c r="AQ9"/>
      <c r="AR9" s="76">
        <v>8</v>
      </c>
      <c r="AS9" s="2">
        <v>3.33</v>
      </c>
      <c r="AT9"/>
    </row>
    <row r="10" spans="1:46" ht="15" thickBot="1" x14ac:dyDescent="0.35">
      <c r="A10"/>
      <c r="B10">
        <v>4</v>
      </c>
      <c r="C10" s="76">
        <v>9</v>
      </c>
      <c r="D10" s="76">
        <v>0.1</v>
      </c>
      <c r="E10" s="76">
        <v>1.024</v>
      </c>
      <c r="F10" s="78">
        <v>0.17199999999999999</v>
      </c>
      <c r="G10" s="79">
        <v>0.48399999999999999</v>
      </c>
      <c r="H10">
        <f t="shared" si="2"/>
        <v>4.5632399999999995</v>
      </c>
      <c r="I10">
        <f t="shared" si="3"/>
        <v>1.4353599999999997</v>
      </c>
      <c r="J10">
        <f t="shared" si="4"/>
        <v>4.3779704000000006</v>
      </c>
      <c r="K10" s="2">
        <f t="shared" si="5"/>
        <v>114.08099999999999</v>
      </c>
      <c r="L10" s="2">
        <f t="shared" si="5"/>
        <v>35.883999999999986</v>
      </c>
      <c r="M10" s="2">
        <f t="shared" si="6"/>
        <v>149.96499999999997</v>
      </c>
      <c r="N10" s="2">
        <f t="shared" si="0"/>
        <v>109.44926000000002</v>
      </c>
      <c r="O10"/>
      <c r="P10" s="76">
        <v>9</v>
      </c>
      <c r="Q10" s="76">
        <v>0.1</v>
      </c>
      <c r="R10">
        <v>0.95899999999999996</v>
      </c>
      <c r="S10">
        <v>0.161</v>
      </c>
      <c r="T10">
        <v>0.45400000000000001</v>
      </c>
      <c r="U10">
        <f t="shared" si="7"/>
        <v>4.2807300000000001</v>
      </c>
      <c r="V10">
        <f t="shared" si="8"/>
        <v>1.3391299999999995</v>
      </c>
      <c r="W10">
        <f t="shared" si="9"/>
        <v>4.0999239999999997</v>
      </c>
      <c r="X10" s="2">
        <f t="shared" si="10"/>
        <v>107.01825000000001</v>
      </c>
      <c r="Y10" s="2">
        <f t="shared" si="10"/>
        <v>33.478249999999981</v>
      </c>
      <c r="Z10" s="2">
        <f t="shared" si="11"/>
        <v>140.4965</v>
      </c>
      <c r="AA10" s="2">
        <f t="shared" si="1"/>
        <v>102.49809999999999</v>
      </c>
      <c r="AC10" s="76">
        <v>9</v>
      </c>
      <c r="AD10">
        <v>2</v>
      </c>
      <c r="AE10">
        <v>20</v>
      </c>
      <c r="AF10">
        <v>0</v>
      </c>
      <c r="AG10">
        <v>0</v>
      </c>
      <c r="AI10" s="76">
        <v>9</v>
      </c>
      <c r="AJ10">
        <v>4</v>
      </c>
      <c r="AK10"/>
      <c r="AL10" s="76">
        <v>9</v>
      </c>
      <c r="AM10">
        <v>3.9</v>
      </c>
      <c r="AO10" s="76">
        <v>9</v>
      </c>
      <c r="AP10" s="2">
        <v>1.26</v>
      </c>
      <c r="AQ10"/>
      <c r="AR10" s="76">
        <v>9</v>
      </c>
      <c r="AS10" s="2">
        <v>3.07</v>
      </c>
      <c r="AT10"/>
    </row>
    <row r="11" spans="1:46" ht="15" thickBot="1" x14ac:dyDescent="0.35">
      <c r="A11"/>
      <c r="B11">
        <v>5</v>
      </c>
      <c r="C11" s="76">
        <v>10</v>
      </c>
      <c r="D11" s="76">
        <v>0.1</v>
      </c>
      <c r="E11" s="76">
        <v>0.49299999999999999</v>
      </c>
      <c r="F11" s="78">
        <v>7.9000000000000001E-2</v>
      </c>
      <c r="G11" s="79">
        <v>0.222</v>
      </c>
      <c r="H11">
        <f t="shared" si="2"/>
        <v>2.0929500000000001</v>
      </c>
      <c r="I11">
        <f t="shared" si="3"/>
        <v>0.66067000000000009</v>
      </c>
      <c r="J11">
        <f t="shared" si="4"/>
        <v>2.1174944</v>
      </c>
      <c r="K11" s="2">
        <f t="shared" si="5"/>
        <v>52.323749999999997</v>
      </c>
      <c r="L11" s="2">
        <f t="shared" si="5"/>
        <v>16.516750000000002</v>
      </c>
      <c r="M11" s="2">
        <f t="shared" si="6"/>
        <v>68.840499999999992</v>
      </c>
      <c r="N11" s="2">
        <f t="shared" si="0"/>
        <v>52.937359999999998</v>
      </c>
      <c r="O11"/>
      <c r="P11" s="76">
        <v>10</v>
      </c>
      <c r="Q11" s="76">
        <v>0.1</v>
      </c>
      <c r="R11">
        <v>0.32900000000000001</v>
      </c>
      <c r="S11">
        <v>5.8999999999999997E-2</v>
      </c>
      <c r="T11">
        <v>0.157</v>
      </c>
      <c r="U11">
        <f t="shared" si="7"/>
        <v>1.4770499999999998</v>
      </c>
      <c r="V11">
        <f t="shared" si="8"/>
        <v>0.53431999999999991</v>
      </c>
      <c r="W11">
        <f t="shared" si="9"/>
        <v>1.4005054000000001</v>
      </c>
      <c r="X11" s="2">
        <f t="shared" si="10"/>
        <v>36.926249999999996</v>
      </c>
      <c r="Y11" s="2">
        <f t="shared" si="10"/>
        <v>13.357999999999999</v>
      </c>
      <c r="Z11" s="2">
        <f t="shared" si="11"/>
        <v>50.284249999999993</v>
      </c>
      <c r="AA11" s="2">
        <f t="shared" si="1"/>
        <v>35.012635000000003</v>
      </c>
      <c r="AC11" s="76">
        <v>10</v>
      </c>
      <c r="AD11">
        <v>2</v>
      </c>
      <c r="AE11">
        <v>20</v>
      </c>
      <c r="AF11">
        <v>0</v>
      </c>
      <c r="AG11">
        <v>0</v>
      </c>
      <c r="AI11" s="76">
        <v>10</v>
      </c>
      <c r="AJ11">
        <v>2.8</v>
      </c>
      <c r="AK11"/>
      <c r="AL11" s="76">
        <v>10</v>
      </c>
      <c r="AM11">
        <v>5.0999999999999996</v>
      </c>
      <c r="AO11" s="76">
        <v>10</v>
      </c>
      <c r="AP11" s="2">
        <v>0.94799999999999995</v>
      </c>
      <c r="AQ11"/>
      <c r="AR11" s="76">
        <v>10</v>
      </c>
      <c r="AS11" s="2">
        <v>2.23</v>
      </c>
      <c r="AT11"/>
    </row>
    <row r="12" spans="1:46" ht="15" thickBot="1" x14ac:dyDescent="0.35">
      <c r="A12" s="1" t="s">
        <v>58</v>
      </c>
      <c r="B12" s="7">
        <v>1</v>
      </c>
      <c r="C12" s="76">
        <v>11</v>
      </c>
      <c r="D12" s="76">
        <v>0.1</v>
      </c>
      <c r="E12" s="76">
        <v>0.61199999999999999</v>
      </c>
      <c r="F12" s="78">
        <v>0.11600000000000001</v>
      </c>
      <c r="G12" s="79">
        <v>0.29399999999999998</v>
      </c>
      <c r="H12">
        <f t="shared" si="2"/>
        <v>2.7604799999999994</v>
      </c>
      <c r="I12">
        <f t="shared" si="3"/>
        <v>1.1187800000000003</v>
      </c>
      <c r="J12">
        <f t="shared" si="4"/>
        <v>2.5952219999999997</v>
      </c>
      <c r="K12" s="2">
        <f t="shared" si="5"/>
        <v>69.011999999999986</v>
      </c>
      <c r="L12" s="2">
        <f t="shared" si="5"/>
        <v>27.969500000000007</v>
      </c>
      <c r="M12" s="2">
        <f t="shared" si="6"/>
        <v>96.981499999999997</v>
      </c>
      <c r="N12" s="2">
        <f t="shared" si="0"/>
        <v>64.880549999999985</v>
      </c>
      <c r="O12"/>
      <c r="P12" s="76">
        <v>11</v>
      </c>
      <c r="Q12" s="76">
        <v>0.1</v>
      </c>
      <c r="R12">
        <v>0.97099999999999997</v>
      </c>
      <c r="S12">
        <v>0.17199999999999999</v>
      </c>
      <c r="T12">
        <v>0.46899999999999997</v>
      </c>
      <c r="U12">
        <f t="shared" si="7"/>
        <v>4.4165399999999995</v>
      </c>
      <c r="V12">
        <f t="shared" si="8"/>
        <v>1.5051099999999997</v>
      </c>
      <c r="W12">
        <f t="shared" si="9"/>
        <v>4.1344593999999999</v>
      </c>
      <c r="X12" s="2">
        <f t="shared" si="10"/>
        <v>110.41349999999998</v>
      </c>
      <c r="Y12" s="2">
        <f t="shared" si="10"/>
        <v>37.627749999999992</v>
      </c>
      <c r="Z12" s="2">
        <f t="shared" si="11"/>
        <v>148.04124999999999</v>
      </c>
      <c r="AA12" s="2">
        <f t="shared" si="1"/>
        <v>103.361485</v>
      </c>
      <c r="AC12" s="76">
        <v>11</v>
      </c>
      <c r="AD12">
        <v>2</v>
      </c>
      <c r="AE12">
        <v>20</v>
      </c>
      <c r="AF12">
        <v>0.32</v>
      </c>
      <c r="AG12">
        <f t="shared" si="12"/>
        <v>1.5</v>
      </c>
      <c r="AI12" s="76">
        <v>11</v>
      </c>
      <c r="AJ12">
        <v>3</v>
      </c>
      <c r="AK12"/>
      <c r="AL12" s="76">
        <v>11</v>
      </c>
      <c r="AM12">
        <v>4.0999999999999996</v>
      </c>
      <c r="AO12" s="76">
        <v>11</v>
      </c>
      <c r="AP12" s="2">
        <v>5.54</v>
      </c>
      <c r="AQ12"/>
      <c r="AR12" s="76">
        <v>11</v>
      </c>
      <c r="AS12" s="2">
        <v>6.15</v>
      </c>
      <c r="AT12"/>
    </row>
    <row r="13" spans="1:46" ht="15" thickBot="1" x14ac:dyDescent="0.35">
      <c r="A13" s="1"/>
      <c r="B13" s="9">
        <v>2</v>
      </c>
      <c r="C13" s="76">
        <v>12</v>
      </c>
      <c r="D13" s="76">
        <v>0.1</v>
      </c>
      <c r="E13" s="76">
        <v>0.82</v>
      </c>
      <c r="F13" s="78">
        <v>0.14000000000000001</v>
      </c>
      <c r="G13" s="79">
        <v>0.38400000000000001</v>
      </c>
      <c r="H13">
        <f t="shared" si="2"/>
        <v>3.6169199999999999</v>
      </c>
      <c r="I13">
        <f t="shared" si="3"/>
        <v>1.2146000000000003</v>
      </c>
      <c r="J13">
        <f t="shared" si="4"/>
        <v>3.5037776000000003</v>
      </c>
      <c r="K13" s="2">
        <f t="shared" si="5"/>
        <v>90.423000000000002</v>
      </c>
      <c r="L13" s="2">
        <f t="shared" si="5"/>
        <v>30.365000000000009</v>
      </c>
      <c r="M13" s="2">
        <f t="shared" si="6"/>
        <v>120.78800000000001</v>
      </c>
      <c r="N13" s="2">
        <f t="shared" si="0"/>
        <v>87.594439999999992</v>
      </c>
      <c r="O13"/>
      <c r="P13" s="76">
        <v>12</v>
      </c>
      <c r="Q13" s="76">
        <v>0.1</v>
      </c>
      <c r="R13">
        <v>0.13400000000000001</v>
      </c>
      <c r="S13">
        <v>2.5999999999999999E-2</v>
      </c>
      <c r="T13">
        <v>6.5000000000000002E-2</v>
      </c>
      <c r="U13">
        <f t="shared" si="7"/>
        <v>0.60995999999999995</v>
      </c>
      <c r="V13">
        <f t="shared" si="8"/>
        <v>0.25492999999999999</v>
      </c>
      <c r="W13">
        <f t="shared" si="9"/>
        <v>0.56711140000000004</v>
      </c>
      <c r="X13" s="2">
        <f t="shared" si="10"/>
        <v>15.248999999999999</v>
      </c>
      <c r="Y13" s="2">
        <f t="shared" si="10"/>
        <v>6.3732499999999996</v>
      </c>
      <c r="Z13" s="2">
        <f t="shared" si="11"/>
        <v>21.622249999999998</v>
      </c>
      <c r="AA13" s="2">
        <f t="shared" si="1"/>
        <v>14.177785000000002</v>
      </c>
      <c r="AC13" s="76">
        <v>12</v>
      </c>
      <c r="AD13">
        <v>2</v>
      </c>
      <c r="AE13">
        <v>20</v>
      </c>
      <c r="AF13">
        <v>0.31</v>
      </c>
      <c r="AG13">
        <f t="shared" si="12"/>
        <v>1.2499999999999996</v>
      </c>
      <c r="AI13" s="76">
        <v>12</v>
      </c>
      <c r="AJ13">
        <v>4</v>
      </c>
      <c r="AK13"/>
      <c r="AL13" s="76">
        <v>12</v>
      </c>
      <c r="AM13">
        <v>3.8</v>
      </c>
      <c r="AO13" s="76">
        <v>12</v>
      </c>
      <c r="AP13" s="2">
        <v>1.22</v>
      </c>
      <c r="AQ13"/>
      <c r="AR13" s="76">
        <v>12</v>
      </c>
      <c r="AS13" s="2">
        <v>2.73</v>
      </c>
      <c r="AT13"/>
    </row>
    <row r="14" spans="1:46" ht="15" thickBot="1" x14ac:dyDescent="0.35">
      <c r="A14" s="1"/>
      <c r="B14">
        <v>3</v>
      </c>
      <c r="C14" s="76">
        <v>13</v>
      </c>
      <c r="D14" s="76">
        <v>0.1</v>
      </c>
      <c r="E14" s="76">
        <v>0.95699999999999996</v>
      </c>
      <c r="F14" s="78">
        <v>0.16</v>
      </c>
      <c r="G14" s="79">
        <v>0.45700000000000002</v>
      </c>
      <c r="H14">
        <f t="shared" si="2"/>
        <v>4.3110599999999994</v>
      </c>
      <c r="I14">
        <f t="shared" si="3"/>
        <v>1.3037499999999995</v>
      </c>
      <c r="J14">
        <f t="shared" si="4"/>
        <v>4.0908857999999997</v>
      </c>
      <c r="K14" s="2">
        <f t="shared" si="5"/>
        <v>107.77649999999998</v>
      </c>
      <c r="L14" s="2">
        <f t="shared" si="5"/>
        <v>32.593749999999986</v>
      </c>
      <c r="M14" s="2">
        <f t="shared" si="6"/>
        <v>140.37024999999997</v>
      </c>
      <c r="N14" s="2">
        <f t="shared" si="0"/>
        <v>102.27214499999998</v>
      </c>
      <c r="O14"/>
      <c r="P14" s="76">
        <v>13</v>
      </c>
      <c r="Q14" s="76">
        <v>0.1</v>
      </c>
      <c r="R14">
        <v>0.70499999999999996</v>
      </c>
      <c r="S14">
        <v>0.121</v>
      </c>
      <c r="T14">
        <v>0.34399999999999997</v>
      </c>
      <c r="U14">
        <f t="shared" si="7"/>
        <v>3.2445299999999992</v>
      </c>
      <c r="V14">
        <f t="shared" si="8"/>
        <v>0.99342999999999981</v>
      </c>
      <c r="W14">
        <f t="shared" si="9"/>
        <v>3.006294</v>
      </c>
      <c r="X14" s="2">
        <f t="shared" si="10"/>
        <v>81.113249999999979</v>
      </c>
      <c r="Y14" s="2">
        <f t="shared" si="10"/>
        <v>24.835749999999994</v>
      </c>
      <c r="Z14" s="2">
        <f t="shared" si="11"/>
        <v>105.94899999999997</v>
      </c>
      <c r="AA14" s="2">
        <f t="shared" si="1"/>
        <v>75.157350000000008</v>
      </c>
      <c r="AC14" s="76">
        <v>13</v>
      </c>
      <c r="AD14">
        <v>2</v>
      </c>
      <c r="AE14">
        <v>20</v>
      </c>
      <c r="AF14">
        <v>0.6</v>
      </c>
      <c r="AG14">
        <f t="shared" si="12"/>
        <v>8.4999999999999982</v>
      </c>
      <c r="AI14" s="76">
        <v>13</v>
      </c>
      <c r="AJ14">
        <v>4.5999999999999996</v>
      </c>
      <c r="AK14"/>
      <c r="AL14" s="76">
        <v>13</v>
      </c>
      <c r="AM14">
        <v>3.9</v>
      </c>
      <c r="AO14" s="76">
        <v>13</v>
      </c>
      <c r="AP14" s="2">
        <v>1.57</v>
      </c>
      <c r="AQ14"/>
      <c r="AR14" s="76">
        <v>13</v>
      </c>
      <c r="AS14" s="2">
        <v>3</v>
      </c>
      <c r="AT14"/>
    </row>
    <row r="15" spans="1:46" ht="15" thickBot="1" x14ac:dyDescent="0.35">
      <c r="A15"/>
      <c r="B15">
        <v>4</v>
      </c>
      <c r="C15" s="76">
        <v>14</v>
      </c>
      <c r="D15" s="76">
        <v>0.1</v>
      </c>
      <c r="E15" s="76">
        <v>0.90100000000000002</v>
      </c>
      <c r="F15" s="78">
        <v>0.14799999999999999</v>
      </c>
      <c r="G15" s="79">
        <v>0.41899999999999998</v>
      </c>
      <c r="H15">
        <f t="shared" si="2"/>
        <v>3.9512999999999998</v>
      </c>
      <c r="I15">
        <f t="shared" si="3"/>
        <v>1.22329</v>
      </c>
      <c r="J15">
        <f t="shared" si="4"/>
        <v>3.8595998000000002</v>
      </c>
      <c r="K15" s="2">
        <f t="shared" si="5"/>
        <v>98.782499999999985</v>
      </c>
      <c r="L15" s="2">
        <f t="shared" si="5"/>
        <v>30.582250000000002</v>
      </c>
      <c r="M15" s="2">
        <f t="shared" si="6"/>
        <v>129.36474999999999</v>
      </c>
      <c r="N15" s="2">
        <f t="shared" si="0"/>
        <v>96.489994999999993</v>
      </c>
      <c r="O15"/>
      <c r="P15" s="76">
        <v>14</v>
      </c>
      <c r="Q15" s="76">
        <v>0.1</v>
      </c>
      <c r="R15">
        <v>1.0900000000000001</v>
      </c>
      <c r="S15">
        <v>0.187</v>
      </c>
      <c r="T15">
        <v>0.53200000000000003</v>
      </c>
      <c r="U15">
        <f t="shared" si="7"/>
        <v>5.01783</v>
      </c>
      <c r="V15">
        <f t="shared" si="8"/>
        <v>1.5336099999999999</v>
      </c>
      <c r="W15">
        <f t="shared" si="9"/>
        <v>4.6480915999999999</v>
      </c>
      <c r="X15" s="2">
        <f t="shared" si="10"/>
        <v>125.44574999999999</v>
      </c>
      <c r="Y15" s="2">
        <f t="shared" si="10"/>
        <v>38.340249999999997</v>
      </c>
      <c r="Z15" s="2">
        <f t="shared" si="11"/>
        <v>163.786</v>
      </c>
      <c r="AA15" s="2">
        <f t="shared" si="1"/>
        <v>116.20228999999999</v>
      </c>
      <c r="AC15" s="76">
        <v>14</v>
      </c>
      <c r="AD15">
        <v>2</v>
      </c>
      <c r="AE15">
        <v>20</v>
      </c>
      <c r="AF15">
        <v>0.3</v>
      </c>
      <c r="AG15">
        <f t="shared" si="12"/>
        <v>0.99999999999999944</v>
      </c>
      <c r="AI15" s="76">
        <v>14</v>
      </c>
      <c r="AJ15">
        <v>3.8</v>
      </c>
      <c r="AK15"/>
      <c r="AL15" s="76">
        <v>14</v>
      </c>
      <c r="AM15">
        <v>3.7</v>
      </c>
      <c r="AO15" s="76">
        <v>14</v>
      </c>
      <c r="AP15" s="2">
        <v>1.42</v>
      </c>
      <c r="AQ15"/>
      <c r="AR15" s="76">
        <v>14</v>
      </c>
      <c r="AS15" s="2">
        <v>2.3199999999999998</v>
      </c>
      <c r="AT15"/>
    </row>
    <row r="16" spans="1:46" ht="15" thickBot="1" x14ac:dyDescent="0.35">
      <c r="A16"/>
      <c r="B16">
        <v>5</v>
      </c>
      <c r="C16" s="76">
        <v>15</v>
      </c>
      <c r="D16" s="76">
        <v>0.1</v>
      </c>
      <c r="E16" s="76">
        <v>0.73899999999999999</v>
      </c>
      <c r="F16" s="78">
        <v>0.129</v>
      </c>
      <c r="G16" s="79">
        <v>0.35199999999999998</v>
      </c>
      <c r="H16">
        <f t="shared" si="2"/>
        <v>3.3148499999999994</v>
      </c>
      <c r="I16">
        <f t="shared" si="3"/>
        <v>1.1276700000000002</v>
      </c>
      <c r="J16">
        <f t="shared" si="4"/>
        <v>3.1512764</v>
      </c>
      <c r="K16" s="2">
        <f t="shared" si="5"/>
        <v>82.871249999999989</v>
      </c>
      <c r="L16" s="2">
        <f t="shared" si="5"/>
        <v>28.191750000000003</v>
      </c>
      <c r="M16" s="2">
        <f t="shared" si="6"/>
        <v>111.06299999999999</v>
      </c>
      <c r="N16" s="2">
        <f t="shared" si="0"/>
        <v>78.781910000000011</v>
      </c>
      <c r="O16"/>
      <c r="P16" s="76">
        <v>15</v>
      </c>
      <c r="Q16" s="76">
        <v>0.1</v>
      </c>
      <c r="R16">
        <v>0.622</v>
      </c>
      <c r="S16">
        <v>0.106</v>
      </c>
      <c r="T16">
        <v>0.29899999999999999</v>
      </c>
      <c r="U16">
        <f t="shared" si="7"/>
        <v>2.8192799999999996</v>
      </c>
      <c r="V16">
        <f t="shared" si="8"/>
        <v>0.88122999999999974</v>
      </c>
      <c r="W16">
        <f t="shared" si="9"/>
        <v>2.6551550000000002</v>
      </c>
      <c r="X16" s="2">
        <f t="shared" si="10"/>
        <v>70.481999999999985</v>
      </c>
      <c r="Y16" s="2">
        <f t="shared" si="10"/>
        <v>22.030749999999994</v>
      </c>
      <c r="Z16" s="2">
        <f t="shared" si="11"/>
        <v>92.512749999999983</v>
      </c>
      <c r="AA16" s="2">
        <f t="shared" si="1"/>
        <v>66.378875000000008</v>
      </c>
      <c r="AC16" s="76">
        <v>15</v>
      </c>
      <c r="AD16">
        <v>2</v>
      </c>
      <c r="AE16">
        <v>20</v>
      </c>
      <c r="AF16">
        <v>0.41</v>
      </c>
      <c r="AG16">
        <f t="shared" si="12"/>
        <v>3.7499999999999991</v>
      </c>
      <c r="AI16" s="76">
        <v>15</v>
      </c>
      <c r="AJ16">
        <v>4</v>
      </c>
      <c r="AK16"/>
      <c r="AL16" s="76">
        <v>15</v>
      </c>
      <c r="AM16">
        <v>4.0999999999999996</v>
      </c>
      <c r="AO16" s="76">
        <v>15</v>
      </c>
      <c r="AP16" s="2">
        <v>1.2</v>
      </c>
      <c r="AQ16"/>
      <c r="AR16" s="76">
        <v>15</v>
      </c>
      <c r="AS16" s="2">
        <v>2.72</v>
      </c>
      <c r="AT16"/>
    </row>
    <row r="17" spans="1:46" ht="15" thickBot="1" x14ac:dyDescent="0.35">
      <c r="A17" t="s">
        <v>63</v>
      </c>
      <c r="B17" s="7">
        <v>1</v>
      </c>
      <c r="C17" s="76">
        <v>16</v>
      </c>
      <c r="D17" s="76">
        <v>0.1</v>
      </c>
      <c r="E17" s="76">
        <v>0.92800000000000005</v>
      </c>
      <c r="F17" s="78">
        <v>0.17299999999999999</v>
      </c>
      <c r="G17" s="79">
        <v>0.44700000000000001</v>
      </c>
      <c r="H17">
        <f t="shared" si="2"/>
        <v>4.2003899999999996</v>
      </c>
      <c r="I17">
        <f t="shared" si="3"/>
        <v>1.6288399999999994</v>
      </c>
      <c r="J17">
        <f>4.7*E17-0.27*(1.38*G17+5.48*F17)</f>
        <v>3.9390770000000002</v>
      </c>
      <c r="K17" s="2">
        <f t="shared" si="5"/>
        <v>105.00975</v>
      </c>
      <c r="L17" s="2">
        <f t="shared" si="5"/>
        <v>40.720999999999989</v>
      </c>
      <c r="M17" s="2">
        <f t="shared" si="6"/>
        <v>145.73075</v>
      </c>
      <c r="N17" s="2">
        <f t="shared" si="0"/>
        <v>98.476925000000008</v>
      </c>
      <c r="O17"/>
      <c r="P17" s="76">
        <v>16</v>
      </c>
      <c r="Q17" s="76">
        <v>0.1</v>
      </c>
      <c r="R17">
        <v>0.38800000000000001</v>
      </c>
      <c r="S17">
        <v>6.8000000000000005E-2</v>
      </c>
      <c r="T17">
        <v>0.185</v>
      </c>
      <c r="U17">
        <f t="shared" si="7"/>
        <v>1.7419799999999999</v>
      </c>
      <c r="V17">
        <f t="shared" si="8"/>
        <v>0.59699000000000002</v>
      </c>
      <c r="W17">
        <f t="shared" si="9"/>
        <v>1.6540562000000001</v>
      </c>
      <c r="X17" s="2">
        <f t="shared" si="10"/>
        <v>43.549499999999995</v>
      </c>
      <c r="Y17" s="2">
        <f t="shared" si="10"/>
        <v>14.92475</v>
      </c>
      <c r="Z17" s="2">
        <f t="shared" si="11"/>
        <v>58.474249999999998</v>
      </c>
      <c r="AA17" s="2">
        <f t="shared" si="1"/>
        <v>41.351405</v>
      </c>
      <c r="AC17" s="76">
        <v>16</v>
      </c>
      <c r="AD17">
        <v>2</v>
      </c>
      <c r="AE17">
        <v>20</v>
      </c>
      <c r="AF17">
        <v>0.38</v>
      </c>
      <c r="AG17">
        <f t="shared" si="12"/>
        <v>3</v>
      </c>
      <c r="AI17" s="76">
        <v>16</v>
      </c>
      <c r="AJ17">
        <v>4.0999999999999996</v>
      </c>
      <c r="AK17"/>
      <c r="AL17" s="76">
        <v>16</v>
      </c>
      <c r="AM17">
        <v>4.2</v>
      </c>
      <c r="AO17" s="76">
        <v>16</v>
      </c>
      <c r="AP17" s="2">
        <v>3.66</v>
      </c>
      <c r="AQ17"/>
      <c r="AR17" s="76">
        <v>16</v>
      </c>
      <c r="AS17" s="2">
        <v>6.54</v>
      </c>
      <c r="AT17"/>
    </row>
    <row r="18" spans="1:46" ht="15" thickBot="1" x14ac:dyDescent="0.35">
      <c r="A18"/>
      <c r="B18" s="9">
        <v>2</v>
      </c>
      <c r="C18" s="76">
        <v>17</v>
      </c>
      <c r="D18" s="76">
        <v>0.1</v>
      </c>
      <c r="E18" s="76">
        <v>0.83</v>
      </c>
      <c r="F18" s="78">
        <v>0.14199999999999999</v>
      </c>
      <c r="G18" s="79">
        <v>0.4</v>
      </c>
      <c r="H18">
        <f t="shared" si="2"/>
        <v>3.77142</v>
      </c>
      <c r="I18">
        <f t="shared" si="3"/>
        <v>1.1830599999999993</v>
      </c>
      <c r="J18">
        <f t="shared" si="4"/>
        <v>3.5418567999999997</v>
      </c>
      <c r="K18" s="2">
        <f t="shared" si="5"/>
        <v>94.285500000000013</v>
      </c>
      <c r="L18" s="2">
        <f t="shared" si="5"/>
        <v>29.576499999999982</v>
      </c>
      <c r="M18" s="2">
        <f t="shared" si="6"/>
        <v>123.86199999999999</v>
      </c>
      <c r="N18" s="2">
        <f t="shared" si="0"/>
        <v>88.546419999999998</v>
      </c>
      <c r="O18"/>
      <c r="P18" s="76">
        <v>17</v>
      </c>
      <c r="Q18" s="76">
        <v>0.1</v>
      </c>
      <c r="R18">
        <v>0.46400000000000002</v>
      </c>
      <c r="S18">
        <v>0.08</v>
      </c>
      <c r="T18">
        <v>0.22</v>
      </c>
      <c r="U18">
        <f t="shared" si="7"/>
        <v>2.0723999999999996</v>
      </c>
      <c r="V18">
        <f t="shared" si="8"/>
        <v>0.69139999999999979</v>
      </c>
      <c r="W18">
        <f t="shared" si="9"/>
        <v>1.9804600000000001</v>
      </c>
      <c r="X18" s="2">
        <f t="shared" si="10"/>
        <v>51.809999999999988</v>
      </c>
      <c r="Y18" s="2">
        <f t="shared" si="10"/>
        <v>17.284999999999993</v>
      </c>
      <c r="Z18" s="2">
        <f t="shared" si="11"/>
        <v>69.094999999999985</v>
      </c>
      <c r="AA18" s="2">
        <f t="shared" si="1"/>
        <v>49.511500000000005</v>
      </c>
      <c r="AC18" s="76">
        <v>17</v>
      </c>
      <c r="AD18">
        <v>2</v>
      </c>
      <c r="AE18">
        <v>20</v>
      </c>
      <c r="AF18">
        <v>0.33</v>
      </c>
      <c r="AG18">
        <f t="shared" si="12"/>
        <v>1.75</v>
      </c>
      <c r="AI18" s="76">
        <v>17</v>
      </c>
      <c r="AJ18">
        <v>4</v>
      </c>
      <c r="AK18"/>
      <c r="AL18" s="76">
        <v>17</v>
      </c>
      <c r="AM18">
        <v>3.7</v>
      </c>
      <c r="AO18" s="76">
        <v>17</v>
      </c>
      <c r="AP18" s="2">
        <v>2.78</v>
      </c>
      <c r="AQ18"/>
      <c r="AR18" s="76">
        <v>17</v>
      </c>
      <c r="AS18" s="2">
        <v>4.46</v>
      </c>
      <c r="AT18"/>
    </row>
    <row r="19" spans="1:46" ht="15" thickBot="1" x14ac:dyDescent="0.35">
      <c r="A19"/>
      <c r="B19">
        <v>3</v>
      </c>
      <c r="C19" s="76">
        <v>18</v>
      </c>
      <c r="D19" s="76">
        <v>0.1</v>
      </c>
      <c r="E19" s="76">
        <v>0.89800000000000002</v>
      </c>
      <c r="F19" s="78">
        <v>0.152</v>
      </c>
      <c r="G19" s="79">
        <v>0.433</v>
      </c>
      <c r="H19">
        <f t="shared" si="2"/>
        <v>4.0842599999999996</v>
      </c>
      <c r="I19">
        <f t="shared" si="3"/>
        <v>1.2439099999999996</v>
      </c>
      <c r="J19">
        <f t="shared" si="4"/>
        <v>3.834365</v>
      </c>
      <c r="K19" s="2">
        <f t="shared" si="5"/>
        <v>102.10649999999998</v>
      </c>
      <c r="L19" s="2">
        <f t="shared" si="5"/>
        <v>31.097749999999994</v>
      </c>
      <c r="M19" s="2">
        <f t="shared" si="6"/>
        <v>133.20424999999997</v>
      </c>
      <c r="N19" s="2">
        <f t="shared" si="0"/>
        <v>95.859125000000006</v>
      </c>
      <c r="O19"/>
      <c r="P19" s="76">
        <v>18</v>
      </c>
      <c r="Q19" s="76">
        <v>0.1</v>
      </c>
      <c r="R19">
        <v>0.82599999999999996</v>
      </c>
      <c r="S19">
        <v>0.14699999999999999</v>
      </c>
      <c r="T19">
        <v>0.41499999999999998</v>
      </c>
      <c r="U19">
        <f t="shared" si="7"/>
        <v>3.91317</v>
      </c>
      <c r="V19">
        <f t="shared" si="8"/>
        <v>1.2204599999999999</v>
      </c>
      <c r="W19">
        <f t="shared" si="9"/>
        <v>3.5100698000000001</v>
      </c>
      <c r="X19" s="2">
        <f t="shared" si="10"/>
        <v>97.829250000000002</v>
      </c>
      <c r="Y19" s="2">
        <f t="shared" si="10"/>
        <v>30.511499999999998</v>
      </c>
      <c r="Z19" s="2">
        <f t="shared" si="11"/>
        <v>128.34075000000001</v>
      </c>
      <c r="AA19" s="2">
        <f t="shared" si="1"/>
        <v>87.751745</v>
      </c>
      <c r="AC19" s="76">
        <v>18</v>
      </c>
      <c r="AD19">
        <v>2</v>
      </c>
      <c r="AE19">
        <v>20</v>
      </c>
      <c r="AF19">
        <v>0.46</v>
      </c>
      <c r="AG19">
        <f t="shared" si="12"/>
        <v>5</v>
      </c>
      <c r="AI19" s="76">
        <v>18</v>
      </c>
      <c r="AJ19">
        <v>3.8</v>
      </c>
      <c r="AK19"/>
      <c r="AL19" s="76">
        <v>18</v>
      </c>
      <c r="AM19">
        <v>4.8</v>
      </c>
      <c r="AO19" s="76">
        <v>18</v>
      </c>
      <c r="AP19" s="2">
        <v>2.4</v>
      </c>
      <c r="AQ19"/>
      <c r="AR19" s="76">
        <v>18</v>
      </c>
      <c r="AS19" s="2">
        <v>4.18</v>
      </c>
      <c r="AT19"/>
    </row>
    <row r="20" spans="1:46" ht="15" thickBot="1" x14ac:dyDescent="0.35">
      <c r="A20"/>
      <c r="B20">
        <v>4</v>
      </c>
      <c r="C20" s="76">
        <v>19</v>
      </c>
      <c r="D20" s="76">
        <v>0.1</v>
      </c>
      <c r="E20" s="76">
        <v>0.29299999999999998</v>
      </c>
      <c r="F20" s="78">
        <v>5.5E-2</v>
      </c>
      <c r="G20" s="79">
        <v>0.13700000000000001</v>
      </c>
      <c r="H20">
        <f t="shared" si="2"/>
        <v>1.2854100000000002</v>
      </c>
      <c r="I20">
        <f t="shared" si="3"/>
        <v>0.54159999999999986</v>
      </c>
      <c r="J20">
        <f t="shared" si="4"/>
        <v>1.2446758</v>
      </c>
      <c r="K20" s="2">
        <f t="shared" si="5"/>
        <v>32.135250000000006</v>
      </c>
      <c r="L20" s="2">
        <f t="shared" si="5"/>
        <v>13.539999999999996</v>
      </c>
      <c r="M20" s="2">
        <f t="shared" si="6"/>
        <v>45.675250000000005</v>
      </c>
      <c r="N20" s="2">
        <f t="shared" si="0"/>
        <v>31.116895</v>
      </c>
      <c r="O20"/>
      <c r="P20" s="76">
        <v>19</v>
      </c>
      <c r="Q20" s="76">
        <v>0.1</v>
      </c>
      <c r="R20">
        <v>0.47</v>
      </c>
      <c r="S20">
        <v>8.1000000000000003E-2</v>
      </c>
      <c r="T20">
        <v>0.222</v>
      </c>
      <c r="U20">
        <f t="shared" si="7"/>
        <v>2.09097</v>
      </c>
      <c r="V20">
        <f t="shared" si="8"/>
        <v>0.70352999999999999</v>
      </c>
      <c r="W20">
        <f t="shared" si="9"/>
        <v>2.0064351999999999</v>
      </c>
      <c r="X20" s="2">
        <f t="shared" si="10"/>
        <v>52.274250000000002</v>
      </c>
      <c r="Y20" s="2">
        <f t="shared" si="10"/>
        <v>17.588249999999999</v>
      </c>
      <c r="Z20" s="2">
        <f t="shared" si="11"/>
        <v>69.862499999999997</v>
      </c>
      <c r="AA20" s="2">
        <f t="shared" si="1"/>
        <v>50.160879999999999</v>
      </c>
      <c r="AC20" s="76">
        <v>19</v>
      </c>
      <c r="AD20">
        <v>2</v>
      </c>
      <c r="AE20">
        <v>20</v>
      </c>
      <c r="AF20">
        <v>0.4</v>
      </c>
      <c r="AG20">
        <f t="shared" si="12"/>
        <v>3.5</v>
      </c>
      <c r="AI20" s="76">
        <v>19</v>
      </c>
      <c r="AJ20">
        <v>2.4</v>
      </c>
      <c r="AK20"/>
      <c r="AL20" s="76">
        <v>19</v>
      </c>
      <c r="AM20">
        <v>5.5</v>
      </c>
      <c r="AO20" s="76">
        <v>19</v>
      </c>
      <c r="AP20" s="2">
        <v>1.31</v>
      </c>
      <c r="AQ20"/>
      <c r="AR20" s="76">
        <v>19</v>
      </c>
      <c r="AS20" s="2">
        <v>2.0099999999999998</v>
      </c>
      <c r="AT20"/>
    </row>
    <row r="21" spans="1:46" ht="15" thickBot="1" x14ac:dyDescent="0.35">
      <c r="A21"/>
      <c r="B21">
        <v>5</v>
      </c>
      <c r="C21" s="76">
        <v>20</v>
      </c>
      <c r="D21" s="76">
        <v>0.1</v>
      </c>
      <c r="E21" s="77">
        <v>0.88700000000000001</v>
      </c>
      <c r="F21" s="78">
        <v>0.14799999999999999</v>
      </c>
      <c r="G21" s="79">
        <v>0.41399999999999998</v>
      </c>
      <c r="H21">
        <f t="shared" si="2"/>
        <v>3.9024000000000001</v>
      </c>
      <c r="I21">
        <f t="shared" si="3"/>
        <v>1.24654</v>
      </c>
      <c r="J21">
        <f t="shared" si="4"/>
        <v>3.7956627999999997</v>
      </c>
      <c r="K21" s="2">
        <f t="shared" si="5"/>
        <v>97.56</v>
      </c>
      <c r="L21" s="2">
        <f t="shared" si="5"/>
        <v>31.163499999999999</v>
      </c>
      <c r="M21" s="2">
        <f t="shared" si="6"/>
        <v>128.7235</v>
      </c>
      <c r="N21" s="2">
        <f t="shared" si="0"/>
        <v>94.891569999999987</v>
      </c>
      <c r="O21"/>
      <c r="P21" s="76">
        <v>20</v>
      </c>
      <c r="Q21" s="76">
        <v>0.1</v>
      </c>
      <c r="R21">
        <v>0.82399999999999995</v>
      </c>
      <c r="S21">
        <v>0.14699999999999999</v>
      </c>
      <c r="T21">
        <v>0.41099999999999998</v>
      </c>
      <c r="U21">
        <f t="shared" si="7"/>
        <v>3.8740499999999995</v>
      </c>
      <c r="V21">
        <f t="shared" si="8"/>
        <v>1.2390599999999998</v>
      </c>
      <c r="W21">
        <f t="shared" si="9"/>
        <v>3.5021601999999996</v>
      </c>
      <c r="X21" s="2">
        <f t="shared" si="10"/>
        <v>96.851249999999993</v>
      </c>
      <c r="Y21" s="2">
        <f t="shared" si="10"/>
        <v>30.976499999999998</v>
      </c>
      <c r="Z21" s="2">
        <f t="shared" si="11"/>
        <v>127.82774999999999</v>
      </c>
      <c r="AA21" s="2">
        <f t="shared" si="1"/>
        <v>87.554004999999975</v>
      </c>
      <c r="AC21" s="76">
        <v>20</v>
      </c>
      <c r="AD21">
        <v>2</v>
      </c>
      <c r="AE21">
        <v>20</v>
      </c>
      <c r="AF21">
        <v>0.45</v>
      </c>
      <c r="AG21">
        <f t="shared" si="12"/>
        <v>4.75</v>
      </c>
      <c r="AI21" s="76">
        <v>20</v>
      </c>
      <c r="AJ21">
        <v>5.5</v>
      </c>
      <c r="AK21"/>
      <c r="AL21" s="76">
        <v>20</v>
      </c>
      <c r="AM21">
        <v>5.9</v>
      </c>
      <c r="AO21" s="76">
        <v>20</v>
      </c>
      <c r="AP21" s="2">
        <v>1.92</v>
      </c>
      <c r="AQ21"/>
      <c r="AR21" s="76">
        <v>20</v>
      </c>
      <c r="AS21" s="2">
        <v>2.61</v>
      </c>
      <c r="AT21"/>
    </row>
    <row r="22" spans="1:46" ht="15" thickBot="1" x14ac:dyDescent="0.35">
      <c r="A22" t="s">
        <v>64</v>
      </c>
      <c r="B22" s="7">
        <v>1</v>
      </c>
      <c r="C22" s="76">
        <v>21</v>
      </c>
      <c r="D22" s="76">
        <v>0.1</v>
      </c>
      <c r="E22" s="77">
        <v>0.40100000000000002</v>
      </c>
      <c r="F22" s="78">
        <v>6.8000000000000005E-2</v>
      </c>
      <c r="G22" s="79">
        <v>0.186</v>
      </c>
      <c r="H22">
        <f t="shared" si="2"/>
        <v>1.7517599999999998</v>
      </c>
      <c r="I22">
        <f t="shared" si="3"/>
        <v>0.59233999999999998</v>
      </c>
      <c r="J22">
        <f t="shared" si="4"/>
        <v>1.7147836000000003</v>
      </c>
      <c r="K22" s="2">
        <f t="shared" si="5"/>
        <v>43.794000000000004</v>
      </c>
      <c r="L22" s="2">
        <f t="shared" si="5"/>
        <v>14.808499999999999</v>
      </c>
      <c r="M22" s="2">
        <f t="shared" si="6"/>
        <v>58.602500000000006</v>
      </c>
      <c r="N22" s="2">
        <f t="shared" si="0"/>
        <v>42.869590000000009</v>
      </c>
      <c r="O22"/>
      <c r="P22" s="76">
        <v>21</v>
      </c>
      <c r="Q22" s="76">
        <v>0.1</v>
      </c>
      <c r="R22">
        <v>1.0609999999999999</v>
      </c>
      <c r="S22">
        <v>0.188</v>
      </c>
      <c r="T22">
        <v>0.53100000000000003</v>
      </c>
      <c r="U22">
        <f t="shared" si="7"/>
        <v>5.0070600000000001</v>
      </c>
      <c r="V22">
        <f t="shared" si="8"/>
        <v>1.5596899999999994</v>
      </c>
      <c r="W22">
        <f t="shared" si="9"/>
        <v>4.5106846000000003</v>
      </c>
      <c r="X22" s="2">
        <f t="shared" si="10"/>
        <v>125.17649999999999</v>
      </c>
      <c r="Y22" s="2">
        <f t="shared" si="10"/>
        <v>38.992249999999984</v>
      </c>
      <c r="Z22" s="2">
        <f t="shared" si="11"/>
        <v>164.16874999999999</v>
      </c>
      <c r="AA22" s="2">
        <f t="shared" si="1"/>
        <v>112.767115</v>
      </c>
      <c r="AC22" s="76">
        <v>21</v>
      </c>
      <c r="AD22">
        <v>2</v>
      </c>
      <c r="AE22">
        <v>20</v>
      </c>
      <c r="AF22">
        <v>0.44</v>
      </c>
      <c r="AG22">
        <f t="shared" si="12"/>
        <v>4.5</v>
      </c>
      <c r="AI22" s="76">
        <v>21</v>
      </c>
      <c r="AJ22">
        <v>2.4</v>
      </c>
      <c r="AK22"/>
      <c r="AL22" s="76">
        <v>21</v>
      </c>
      <c r="AM22">
        <v>3.7</v>
      </c>
      <c r="AO22" s="76">
        <v>21</v>
      </c>
      <c r="AP22" s="2">
        <v>9.89</v>
      </c>
      <c r="AQ22"/>
      <c r="AR22" s="76">
        <v>21</v>
      </c>
      <c r="AS22" s="2">
        <v>8.34</v>
      </c>
      <c r="AT22"/>
    </row>
    <row r="23" spans="1:46" ht="15" thickBot="1" x14ac:dyDescent="0.35">
      <c r="A23"/>
      <c r="B23" s="9">
        <v>2</v>
      </c>
      <c r="C23" s="76">
        <v>22</v>
      </c>
      <c r="D23" s="76">
        <v>0.1</v>
      </c>
      <c r="E23" s="77">
        <v>0.40600000000000003</v>
      </c>
      <c r="F23" s="78">
        <v>6.9000000000000006E-2</v>
      </c>
      <c r="G23" s="79">
        <v>0.189</v>
      </c>
      <c r="H23">
        <f t="shared" si="2"/>
        <v>1.7801099999999999</v>
      </c>
      <c r="I23">
        <f t="shared" si="3"/>
        <v>0.59982000000000013</v>
      </c>
      <c r="J23">
        <f t="shared" si="4"/>
        <v>1.7356862000000002</v>
      </c>
      <c r="K23" s="2">
        <f t="shared" si="5"/>
        <v>44.502749999999999</v>
      </c>
      <c r="L23" s="2">
        <f t="shared" si="5"/>
        <v>14.995500000000003</v>
      </c>
      <c r="M23" s="2">
        <f t="shared" si="6"/>
        <v>59.498249999999999</v>
      </c>
      <c r="N23" s="2">
        <f t="shared" si="0"/>
        <v>43.392155000000002</v>
      </c>
      <c r="O23"/>
      <c r="P23" s="76">
        <v>22</v>
      </c>
      <c r="Q23" s="76">
        <v>0.1</v>
      </c>
      <c r="R23">
        <v>0.69399999999999995</v>
      </c>
      <c r="S23">
        <v>0.121</v>
      </c>
      <c r="T23">
        <v>0.34699999999999998</v>
      </c>
      <c r="U23">
        <f t="shared" si="7"/>
        <v>3.2738699999999996</v>
      </c>
      <c r="V23">
        <f t="shared" si="8"/>
        <v>0.97947999999999968</v>
      </c>
      <c r="W23">
        <f t="shared" si="9"/>
        <v>2.9534761999999999</v>
      </c>
      <c r="X23" s="2">
        <f t="shared" si="10"/>
        <v>81.84675</v>
      </c>
      <c r="Y23" s="2">
        <f t="shared" si="10"/>
        <v>24.486999999999995</v>
      </c>
      <c r="Z23" s="2">
        <f t="shared" si="11"/>
        <v>106.33374999999999</v>
      </c>
      <c r="AA23" s="2">
        <f t="shared" si="1"/>
        <v>73.836904999999987</v>
      </c>
      <c r="AC23" s="76">
        <v>22</v>
      </c>
      <c r="AD23">
        <v>2</v>
      </c>
      <c r="AE23">
        <v>20</v>
      </c>
      <c r="AF23">
        <v>0.4</v>
      </c>
      <c r="AG23">
        <f t="shared" si="12"/>
        <v>3.5</v>
      </c>
      <c r="AI23" s="76">
        <v>22</v>
      </c>
      <c r="AJ23">
        <v>2.2000000000000002</v>
      </c>
      <c r="AK23"/>
      <c r="AL23" s="76">
        <v>22</v>
      </c>
      <c r="AM23">
        <v>3.8</v>
      </c>
      <c r="AO23" s="76">
        <v>22</v>
      </c>
      <c r="AP23" s="2">
        <v>4.0199999999999996</v>
      </c>
      <c r="AQ23"/>
      <c r="AR23" s="76">
        <v>22</v>
      </c>
      <c r="AS23" s="2">
        <v>6.82</v>
      </c>
      <c r="AT23"/>
    </row>
    <row r="24" spans="1:46" ht="15" thickBot="1" x14ac:dyDescent="0.35">
      <c r="A24"/>
      <c r="B24">
        <v>3</v>
      </c>
      <c r="C24" s="76">
        <v>23</v>
      </c>
      <c r="D24" s="76">
        <v>0.1</v>
      </c>
      <c r="E24" s="77">
        <v>0.65100000000000002</v>
      </c>
      <c r="F24" s="78">
        <v>0.109</v>
      </c>
      <c r="G24" s="79">
        <v>0.30299999999999999</v>
      </c>
      <c r="H24">
        <f t="shared" si="2"/>
        <v>2.8554299999999997</v>
      </c>
      <c r="I24">
        <f t="shared" si="3"/>
        <v>0.92691999999999974</v>
      </c>
      <c r="J24">
        <f t="shared" si="4"/>
        <v>2.7855258000000003</v>
      </c>
      <c r="K24" s="2">
        <f t="shared" si="5"/>
        <v>71.385749999999987</v>
      </c>
      <c r="L24" s="2">
        <f t="shared" si="5"/>
        <v>23.172999999999995</v>
      </c>
      <c r="M24" s="2">
        <f t="shared" si="6"/>
        <v>94.558749999999975</v>
      </c>
      <c r="N24" s="2">
        <f t="shared" si="0"/>
        <v>69.638145000000009</v>
      </c>
      <c r="O24"/>
      <c r="P24" s="76">
        <v>23</v>
      </c>
      <c r="Q24" s="76">
        <v>0.1</v>
      </c>
      <c r="R24">
        <v>0.32600000000000001</v>
      </c>
      <c r="S24">
        <v>5.8000000000000003E-2</v>
      </c>
      <c r="T24">
        <v>0.16</v>
      </c>
      <c r="U24">
        <f t="shared" si="7"/>
        <v>1.5073799999999999</v>
      </c>
      <c r="V24">
        <f t="shared" si="8"/>
        <v>0.49894000000000005</v>
      </c>
      <c r="W24">
        <f t="shared" si="9"/>
        <v>1.3867672</v>
      </c>
      <c r="X24" s="2">
        <f t="shared" si="10"/>
        <v>37.6845</v>
      </c>
      <c r="Y24" s="2">
        <f t="shared" si="10"/>
        <v>12.473500000000001</v>
      </c>
      <c r="Z24" s="2">
        <f t="shared" si="11"/>
        <v>50.158000000000001</v>
      </c>
      <c r="AA24" s="2">
        <f t="shared" si="1"/>
        <v>34.669179999999997</v>
      </c>
      <c r="AC24" s="76">
        <v>23</v>
      </c>
      <c r="AD24">
        <v>2</v>
      </c>
      <c r="AE24">
        <v>20</v>
      </c>
      <c r="AF24">
        <v>0.33</v>
      </c>
      <c r="AG24">
        <f t="shared" si="12"/>
        <v>1.75</v>
      </c>
      <c r="AI24" s="76">
        <v>23</v>
      </c>
      <c r="AJ24">
        <v>3.5</v>
      </c>
      <c r="AK24"/>
      <c r="AL24" s="76">
        <v>23</v>
      </c>
      <c r="AM24">
        <v>3.5</v>
      </c>
      <c r="AO24" s="76">
        <v>23</v>
      </c>
      <c r="AP24" s="2">
        <v>1.79</v>
      </c>
      <c r="AQ24"/>
      <c r="AR24" s="76">
        <v>23</v>
      </c>
      <c r="AS24" s="2">
        <v>4.01</v>
      </c>
      <c r="AT24"/>
    </row>
    <row r="25" spans="1:46" ht="15" thickBot="1" x14ac:dyDescent="0.35">
      <c r="A25"/>
      <c r="B25">
        <v>4</v>
      </c>
      <c r="C25" s="76">
        <v>24</v>
      </c>
      <c r="D25" s="76">
        <v>0.1</v>
      </c>
      <c r="E25" s="77">
        <v>0.64600000000000002</v>
      </c>
      <c r="F25" s="78">
        <v>0.109</v>
      </c>
      <c r="G25" s="79">
        <v>0.29899999999999999</v>
      </c>
      <c r="H25">
        <f t="shared" si="2"/>
        <v>2.8163099999999996</v>
      </c>
      <c r="I25">
        <f t="shared" si="3"/>
        <v>0.94551999999999992</v>
      </c>
      <c r="J25">
        <f t="shared" si="4"/>
        <v>2.7635161999999998</v>
      </c>
      <c r="K25" s="2">
        <f t="shared" si="5"/>
        <v>70.407749999999993</v>
      </c>
      <c r="L25" s="2">
        <f t="shared" si="5"/>
        <v>23.637999999999998</v>
      </c>
      <c r="M25" s="2">
        <f t="shared" si="6"/>
        <v>94.045749999999998</v>
      </c>
      <c r="N25" s="2">
        <f t="shared" si="0"/>
        <v>69.087904999999992</v>
      </c>
      <c r="O25"/>
      <c r="P25" s="76">
        <v>24</v>
      </c>
      <c r="Q25" s="76">
        <v>0.1</v>
      </c>
      <c r="R25">
        <v>0.38400000000000001</v>
      </c>
      <c r="S25">
        <v>6.8000000000000005E-2</v>
      </c>
      <c r="T25">
        <v>0.183</v>
      </c>
      <c r="U25">
        <f t="shared" si="7"/>
        <v>1.7224199999999998</v>
      </c>
      <c r="V25">
        <f t="shared" si="8"/>
        <v>0.60629</v>
      </c>
      <c r="W25">
        <f t="shared" si="9"/>
        <v>1.6360014000000001</v>
      </c>
      <c r="X25" s="2">
        <f t="shared" si="10"/>
        <v>43.060499999999998</v>
      </c>
      <c r="Y25" s="2">
        <f t="shared" si="10"/>
        <v>15.157249999999999</v>
      </c>
      <c r="Z25" s="2">
        <f t="shared" si="11"/>
        <v>58.217749999999995</v>
      </c>
      <c r="AA25" s="2">
        <f t="shared" si="1"/>
        <v>40.900034999999995</v>
      </c>
      <c r="AC25" s="76">
        <v>24</v>
      </c>
      <c r="AD25">
        <v>2</v>
      </c>
      <c r="AE25">
        <v>20</v>
      </c>
      <c r="AF25">
        <v>0.72</v>
      </c>
      <c r="AG25">
        <f t="shared" si="12"/>
        <v>11.499999999999998</v>
      </c>
      <c r="AI25" s="76">
        <v>24</v>
      </c>
      <c r="AJ25">
        <v>1.2</v>
      </c>
      <c r="AK25"/>
      <c r="AL25" s="76">
        <v>24</v>
      </c>
      <c r="AM25">
        <v>4.0999999999999996</v>
      </c>
      <c r="AO25" s="76">
        <v>24</v>
      </c>
      <c r="AP25" s="2">
        <v>2.44</v>
      </c>
      <c r="AQ25"/>
      <c r="AR25" s="76">
        <v>24</v>
      </c>
      <c r="AS25" s="2">
        <v>1.57</v>
      </c>
      <c r="AT25"/>
    </row>
    <row r="26" spans="1:46" ht="15" thickBot="1" x14ac:dyDescent="0.35">
      <c r="A26"/>
      <c r="B26">
        <v>5</v>
      </c>
      <c r="C26" s="76">
        <v>25</v>
      </c>
      <c r="D26" s="76">
        <v>0.1</v>
      </c>
      <c r="E26" s="77">
        <v>0.64100000000000001</v>
      </c>
      <c r="F26" s="78">
        <v>0.111</v>
      </c>
      <c r="G26" s="79">
        <v>0.31</v>
      </c>
      <c r="H26">
        <f t="shared" si="2"/>
        <v>2.9219099999999996</v>
      </c>
      <c r="I26">
        <f t="shared" si="3"/>
        <v>0.93723000000000001</v>
      </c>
      <c r="J26">
        <f t="shared" si="4"/>
        <v>2.7329584000000002</v>
      </c>
      <c r="K26" s="2">
        <f t="shared" si="5"/>
        <v>73.047749999999994</v>
      </c>
      <c r="L26" s="2">
        <f t="shared" si="5"/>
        <v>23.430749999999996</v>
      </c>
      <c r="M26" s="2">
        <f t="shared" si="6"/>
        <v>96.478499999999997</v>
      </c>
      <c r="N26" s="2">
        <f t="shared" si="0"/>
        <v>68.32396</v>
      </c>
      <c r="O26"/>
      <c r="P26" s="76">
        <v>25</v>
      </c>
      <c r="Q26" s="76">
        <v>0.1</v>
      </c>
      <c r="R26">
        <v>0.46200000000000002</v>
      </c>
      <c r="S26">
        <v>8.2000000000000003E-2</v>
      </c>
      <c r="T26">
        <v>0.22700000000000001</v>
      </c>
      <c r="U26">
        <f t="shared" si="7"/>
        <v>2.1388800000000003</v>
      </c>
      <c r="V26">
        <f t="shared" si="8"/>
        <v>0.70170999999999983</v>
      </c>
      <c r="W26">
        <f t="shared" si="9"/>
        <v>1.9654926000000001</v>
      </c>
      <c r="X26" s="2">
        <f t="shared" si="10"/>
        <v>53.472000000000008</v>
      </c>
      <c r="Y26" s="2">
        <f t="shared" si="10"/>
        <v>17.542749999999995</v>
      </c>
      <c r="Z26" s="2">
        <f t="shared" si="11"/>
        <v>71.014750000000006</v>
      </c>
      <c r="AA26" s="2">
        <f t="shared" si="1"/>
        <v>49.137315000000008</v>
      </c>
      <c r="AC26" s="76">
        <v>25</v>
      </c>
      <c r="AD26">
        <v>2</v>
      </c>
      <c r="AE26">
        <v>20</v>
      </c>
      <c r="AF26">
        <v>0.43</v>
      </c>
      <c r="AG26">
        <f t="shared" si="12"/>
        <v>4.2499999999999991</v>
      </c>
      <c r="AI26" s="76">
        <v>25</v>
      </c>
      <c r="AJ26">
        <v>4.5</v>
      </c>
      <c r="AK26"/>
      <c r="AL26" s="76">
        <v>25</v>
      </c>
      <c r="AM26">
        <v>5.2</v>
      </c>
      <c r="AO26" s="76">
        <v>25</v>
      </c>
      <c r="AP26" s="2">
        <v>1.86</v>
      </c>
      <c r="AQ26"/>
      <c r="AR26" s="76">
        <v>25</v>
      </c>
      <c r="AS26" s="2">
        <v>2.02</v>
      </c>
      <c r="AT26"/>
    </row>
    <row r="27" spans="1:46" ht="15" thickBot="1" x14ac:dyDescent="0.35">
      <c r="A27" t="s">
        <v>67</v>
      </c>
      <c r="B27" s="7">
        <v>1</v>
      </c>
      <c r="C27" s="76">
        <v>26</v>
      </c>
      <c r="D27" s="76">
        <v>0.1</v>
      </c>
      <c r="E27" s="77">
        <v>0.27200000000000002</v>
      </c>
      <c r="F27" s="78">
        <v>4.7E-2</v>
      </c>
      <c r="G27" s="79">
        <v>9.6000000000000002E-2</v>
      </c>
      <c r="H27">
        <f t="shared" si="2"/>
        <v>0.89234999999999998</v>
      </c>
      <c r="I27">
        <f t="shared" si="3"/>
        <v>0.56080999999999992</v>
      </c>
      <c r="J27">
        <f t="shared" si="4"/>
        <v>1.1730892000000002</v>
      </c>
      <c r="K27" s="2">
        <f t="shared" si="5"/>
        <v>22.30875</v>
      </c>
      <c r="L27" s="2">
        <f t="shared" si="5"/>
        <v>14.020249999999997</v>
      </c>
      <c r="M27" s="2">
        <f t="shared" si="6"/>
        <v>36.328999999999994</v>
      </c>
      <c r="N27" s="2">
        <f t="shared" si="0"/>
        <v>29.327230000000004</v>
      </c>
      <c r="O27"/>
      <c r="P27" s="76">
        <v>26</v>
      </c>
      <c r="Q27" s="76">
        <v>0.1</v>
      </c>
      <c r="R27">
        <v>0.78500000000000003</v>
      </c>
      <c r="S27">
        <v>0.13900000000000001</v>
      </c>
      <c r="T27">
        <v>0.39500000000000002</v>
      </c>
      <c r="U27">
        <f t="shared" si="7"/>
        <v>3.7254899999999997</v>
      </c>
      <c r="V27">
        <f t="shared" si="8"/>
        <v>1.14202</v>
      </c>
      <c r="W27">
        <f t="shared" si="9"/>
        <v>3.3366586000000003</v>
      </c>
      <c r="X27" s="2">
        <f t="shared" si="10"/>
        <v>93.137249999999995</v>
      </c>
      <c r="Y27" s="2">
        <f t="shared" si="10"/>
        <v>28.550500000000003</v>
      </c>
      <c r="Z27" s="2">
        <f t="shared" si="11"/>
        <v>121.68774999999999</v>
      </c>
      <c r="AA27" s="2">
        <f t="shared" si="1"/>
        <v>83.416465000000002</v>
      </c>
      <c r="AC27" s="76">
        <v>26</v>
      </c>
      <c r="AD27">
        <v>2</v>
      </c>
      <c r="AE27">
        <v>20</v>
      </c>
      <c r="AF27">
        <v>0.41</v>
      </c>
      <c r="AG27">
        <f t="shared" si="12"/>
        <v>3.7499999999999991</v>
      </c>
      <c r="AI27" s="76">
        <v>26</v>
      </c>
      <c r="AJ27">
        <v>1.6</v>
      </c>
      <c r="AK27"/>
      <c r="AL27" s="76">
        <v>26</v>
      </c>
      <c r="AM27">
        <v>2.1</v>
      </c>
      <c r="AO27" s="76">
        <v>26</v>
      </c>
      <c r="AP27" s="2">
        <v>7.59</v>
      </c>
      <c r="AQ27"/>
      <c r="AR27" s="76">
        <v>26</v>
      </c>
      <c r="AS27" s="2">
        <v>4.59</v>
      </c>
      <c r="AT27"/>
    </row>
    <row r="28" spans="1:46" ht="15" thickBot="1" x14ac:dyDescent="0.35">
      <c r="A28"/>
      <c r="B28" s="9">
        <v>2</v>
      </c>
      <c r="C28" s="76">
        <v>27</v>
      </c>
      <c r="D28" s="76">
        <v>0.1</v>
      </c>
      <c r="E28" s="77">
        <v>0.19800000000000001</v>
      </c>
      <c r="F28" s="78">
        <v>3.3000000000000002E-2</v>
      </c>
      <c r="G28" s="79">
        <v>0.13100000000000001</v>
      </c>
      <c r="H28">
        <f t="shared" si="2"/>
        <v>1.24851</v>
      </c>
      <c r="I28">
        <f t="shared" si="3"/>
        <v>9.8039999999999905E-2</v>
      </c>
      <c r="J28">
        <f t="shared" si="4"/>
        <v>0.83296260000000011</v>
      </c>
      <c r="K28" s="2">
        <f t="shared" si="5"/>
        <v>31.21275</v>
      </c>
      <c r="L28" s="2">
        <f t="shared" si="5"/>
        <v>2.4509999999999978</v>
      </c>
      <c r="M28" s="2">
        <f t="shared" si="6"/>
        <v>33.66375</v>
      </c>
      <c r="N28" s="2">
        <f t="shared" si="0"/>
        <v>20.824065000000001</v>
      </c>
      <c r="O28"/>
      <c r="P28" s="76">
        <v>27</v>
      </c>
      <c r="Q28" s="76">
        <v>0.1</v>
      </c>
      <c r="R28">
        <v>0.23</v>
      </c>
      <c r="S28">
        <v>4.2999999999999997E-2</v>
      </c>
      <c r="T28">
        <v>0.112</v>
      </c>
      <c r="U28">
        <f t="shared" si="7"/>
        <v>1.0527899999999999</v>
      </c>
      <c r="V28">
        <f t="shared" si="8"/>
        <v>0.40068999999999988</v>
      </c>
      <c r="W28">
        <f t="shared" si="9"/>
        <v>0.97564600000000024</v>
      </c>
      <c r="X28" s="2">
        <f t="shared" si="10"/>
        <v>26.319749999999996</v>
      </c>
      <c r="Y28" s="2">
        <f t="shared" si="10"/>
        <v>10.017249999999997</v>
      </c>
      <c r="Z28" s="2">
        <f t="shared" si="11"/>
        <v>36.336999999999989</v>
      </c>
      <c r="AA28" s="2">
        <f t="shared" si="1"/>
        <v>24.391150000000003</v>
      </c>
      <c r="AC28" s="76">
        <v>27</v>
      </c>
      <c r="AD28">
        <v>2</v>
      </c>
      <c r="AE28">
        <v>20</v>
      </c>
      <c r="AF28">
        <v>0</v>
      </c>
      <c r="AG28">
        <v>0</v>
      </c>
      <c r="AI28" s="76">
        <v>27</v>
      </c>
      <c r="AJ28">
        <v>3</v>
      </c>
      <c r="AK28"/>
      <c r="AL28" s="76">
        <v>27</v>
      </c>
      <c r="AM28">
        <v>2.9</v>
      </c>
      <c r="AO28" s="76">
        <v>27</v>
      </c>
      <c r="AP28" s="2">
        <v>5.1100000000000003</v>
      </c>
      <c r="AQ28"/>
      <c r="AR28" s="76">
        <v>27</v>
      </c>
      <c r="AS28" s="2">
        <v>7.67</v>
      </c>
      <c r="AT28"/>
    </row>
    <row r="29" spans="1:46" ht="15" thickBot="1" x14ac:dyDescent="0.35">
      <c r="A29"/>
      <c r="B29">
        <v>3</v>
      </c>
      <c r="C29" s="76">
        <v>28</v>
      </c>
      <c r="D29" s="76">
        <v>0.1</v>
      </c>
      <c r="E29" s="77">
        <v>0.56699999999999995</v>
      </c>
      <c r="F29" s="78">
        <v>0.1</v>
      </c>
      <c r="G29" s="79">
        <v>0.27</v>
      </c>
      <c r="H29">
        <f t="shared" si="2"/>
        <v>2.5415999999999999</v>
      </c>
      <c r="I29">
        <f t="shared" si="3"/>
        <v>0.88749999999999996</v>
      </c>
      <c r="J29">
        <f t="shared" si="4"/>
        <v>2.4163379999999997</v>
      </c>
      <c r="K29" s="2">
        <f t="shared" si="5"/>
        <v>63.54</v>
      </c>
      <c r="L29" s="2">
        <f t="shared" si="5"/>
        <v>22.1875</v>
      </c>
      <c r="M29" s="2">
        <f t="shared" si="6"/>
        <v>85.727499999999992</v>
      </c>
      <c r="N29" s="2">
        <f t="shared" si="0"/>
        <v>60.408449999999988</v>
      </c>
      <c r="O29"/>
      <c r="P29" s="76">
        <v>28</v>
      </c>
      <c r="Q29" s="76">
        <v>0.1</v>
      </c>
      <c r="R29">
        <v>0.34300000000000003</v>
      </c>
      <c r="S29">
        <v>0.06</v>
      </c>
      <c r="T29">
        <v>0.16500000000000001</v>
      </c>
      <c r="U29">
        <f t="shared" si="7"/>
        <v>1.5543</v>
      </c>
      <c r="V29">
        <f t="shared" si="8"/>
        <v>0.51854999999999973</v>
      </c>
      <c r="W29">
        <f t="shared" si="9"/>
        <v>1.4618450000000001</v>
      </c>
      <c r="X29" s="2">
        <f t="shared" si="10"/>
        <v>38.857500000000002</v>
      </c>
      <c r="Y29" s="2">
        <f t="shared" si="10"/>
        <v>12.963749999999994</v>
      </c>
      <c r="Z29" s="2">
        <f t="shared" si="11"/>
        <v>51.821249999999992</v>
      </c>
      <c r="AA29" s="2">
        <f t="shared" si="1"/>
        <v>36.546125000000004</v>
      </c>
      <c r="AC29" s="76">
        <v>28</v>
      </c>
      <c r="AD29">
        <v>2</v>
      </c>
      <c r="AE29">
        <v>20</v>
      </c>
      <c r="AF29">
        <v>0.39</v>
      </c>
      <c r="AG29">
        <f t="shared" si="12"/>
        <v>3.25</v>
      </c>
      <c r="AI29" s="76">
        <v>28</v>
      </c>
      <c r="AJ29">
        <v>5.8</v>
      </c>
      <c r="AK29"/>
      <c r="AL29" s="76">
        <v>28</v>
      </c>
      <c r="AM29">
        <v>4.0999999999999996</v>
      </c>
      <c r="AO29" s="76">
        <v>28</v>
      </c>
      <c r="AP29" s="2">
        <v>1.94</v>
      </c>
      <c r="AQ29"/>
      <c r="AR29" s="76">
        <v>28</v>
      </c>
      <c r="AS29" s="2">
        <v>8.2100000000000009</v>
      </c>
      <c r="AT29"/>
    </row>
    <row r="30" spans="1:46" ht="15" thickBot="1" x14ac:dyDescent="0.35">
      <c r="A30"/>
      <c r="B30">
        <v>4</v>
      </c>
      <c r="C30" s="76">
        <v>29</v>
      </c>
      <c r="D30" s="76">
        <v>0.1</v>
      </c>
      <c r="E30" s="77">
        <v>0.32300000000000001</v>
      </c>
      <c r="F30" s="78">
        <v>5.6000000000000001E-2</v>
      </c>
      <c r="G30" s="79">
        <v>0.159</v>
      </c>
      <c r="H30">
        <f t="shared" si="2"/>
        <v>1.4995799999999999</v>
      </c>
      <c r="I30">
        <f t="shared" si="3"/>
        <v>0.46072999999999997</v>
      </c>
      <c r="J30">
        <f t="shared" si="4"/>
        <v>1.375999</v>
      </c>
      <c r="K30" s="2">
        <f t="shared" si="5"/>
        <v>37.4895</v>
      </c>
      <c r="L30" s="2">
        <f t="shared" si="5"/>
        <v>11.51825</v>
      </c>
      <c r="M30" s="2">
        <f t="shared" si="6"/>
        <v>49.007750000000001</v>
      </c>
      <c r="N30" s="2">
        <f t="shared" si="0"/>
        <v>34.399974999999998</v>
      </c>
      <c r="O30"/>
      <c r="P30" s="76">
        <v>29</v>
      </c>
      <c r="Q30" s="76">
        <v>0.1</v>
      </c>
      <c r="R30">
        <v>0.32600000000000001</v>
      </c>
      <c r="S30">
        <v>5.8000000000000003E-2</v>
      </c>
      <c r="T30">
        <v>0.14399999999999999</v>
      </c>
      <c r="U30">
        <f t="shared" si="7"/>
        <v>1.3508999999999998</v>
      </c>
      <c r="V30">
        <f t="shared" si="8"/>
        <v>0.57334000000000018</v>
      </c>
      <c r="W30">
        <f t="shared" si="9"/>
        <v>1.3927288</v>
      </c>
      <c r="X30" s="2">
        <f t="shared" si="10"/>
        <v>33.772499999999994</v>
      </c>
      <c r="Y30" s="2">
        <f t="shared" si="10"/>
        <v>14.333500000000004</v>
      </c>
      <c r="Z30" s="2">
        <f t="shared" si="11"/>
        <v>48.105999999999995</v>
      </c>
      <c r="AA30" s="2">
        <f t="shared" si="1"/>
        <v>34.818219999999997</v>
      </c>
      <c r="AC30" s="76">
        <v>29</v>
      </c>
      <c r="AD30">
        <v>2</v>
      </c>
      <c r="AE30">
        <v>20</v>
      </c>
      <c r="AF30">
        <v>0.46</v>
      </c>
      <c r="AG30">
        <f t="shared" si="12"/>
        <v>5</v>
      </c>
      <c r="AI30" s="76">
        <v>29</v>
      </c>
      <c r="AJ30">
        <v>5.2</v>
      </c>
      <c r="AK30"/>
      <c r="AL30" s="76">
        <v>29</v>
      </c>
      <c r="AM30">
        <v>3.4</v>
      </c>
      <c r="AO30" s="76">
        <v>29</v>
      </c>
      <c r="AP30" s="2">
        <v>0.877</v>
      </c>
      <c r="AQ30"/>
      <c r="AR30" s="76">
        <v>29</v>
      </c>
      <c r="AS30" s="2">
        <v>1.87</v>
      </c>
      <c r="AT30"/>
    </row>
    <row r="31" spans="1:46" ht="15" thickBot="1" x14ac:dyDescent="0.35">
      <c r="A31"/>
      <c r="B31">
        <v>5</v>
      </c>
      <c r="C31" s="77">
        <v>30</v>
      </c>
      <c r="D31" s="76">
        <v>0.1</v>
      </c>
      <c r="E31" s="77">
        <v>0.45800000000000002</v>
      </c>
      <c r="F31" s="78">
        <v>7.6999999999999999E-2</v>
      </c>
      <c r="G31" s="79">
        <v>0.217</v>
      </c>
      <c r="H31">
        <f t="shared" si="2"/>
        <v>2.04603</v>
      </c>
      <c r="I31">
        <f t="shared" si="3"/>
        <v>0.64105999999999996</v>
      </c>
      <c r="J31">
        <f t="shared" si="4"/>
        <v>1.9578166000000001</v>
      </c>
      <c r="K31" s="2">
        <f t="shared" si="5"/>
        <v>51.150749999999995</v>
      </c>
      <c r="L31" s="2">
        <f t="shared" si="5"/>
        <v>16.026499999999999</v>
      </c>
      <c r="M31" s="2">
        <f t="shared" si="6"/>
        <v>67.177249999999987</v>
      </c>
      <c r="N31" s="2">
        <f t="shared" si="0"/>
        <v>48.945415000000004</v>
      </c>
      <c r="O31"/>
      <c r="P31" s="77">
        <v>30</v>
      </c>
      <c r="Q31" s="76">
        <v>0.1</v>
      </c>
      <c r="R31">
        <v>0.21199999999999999</v>
      </c>
      <c r="S31">
        <v>4.2000000000000003E-2</v>
      </c>
      <c r="T31">
        <v>0.10100000000000001</v>
      </c>
      <c r="U31">
        <f t="shared" si="7"/>
        <v>0.94620000000000004</v>
      </c>
      <c r="V31">
        <f t="shared" si="8"/>
        <v>0.43041000000000001</v>
      </c>
      <c r="W31">
        <f t="shared" si="9"/>
        <v>0.89662420000000009</v>
      </c>
      <c r="X31" s="2">
        <f t="shared" si="10"/>
        <v>23.655000000000001</v>
      </c>
      <c r="Y31" s="2">
        <f t="shared" si="10"/>
        <v>10.760249999999999</v>
      </c>
      <c r="Z31" s="2">
        <f t="shared" si="11"/>
        <v>34.41525</v>
      </c>
      <c r="AA31" s="2">
        <f t="shared" si="1"/>
        <v>22.415605000000003</v>
      </c>
      <c r="AC31" s="77">
        <v>30</v>
      </c>
      <c r="AD31">
        <v>2</v>
      </c>
      <c r="AE31">
        <v>20</v>
      </c>
      <c r="AF31">
        <v>0.41</v>
      </c>
      <c r="AG31">
        <f t="shared" si="12"/>
        <v>3.7499999999999991</v>
      </c>
      <c r="AI31" s="77">
        <v>30</v>
      </c>
      <c r="AJ31">
        <v>4.8</v>
      </c>
      <c r="AK31"/>
      <c r="AL31" s="77">
        <v>30</v>
      </c>
      <c r="AM31">
        <v>4.5</v>
      </c>
      <c r="AO31" s="77">
        <v>30</v>
      </c>
      <c r="AP31" s="2">
        <v>0.97899999999999998</v>
      </c>
      <c r="AQ31"/>
      <c r="AR31" s="77">
        <v>30</v>
      </c>
      <c r="AS31" s="2">
        <v>3.79</v>
      </c>
      <c r="AT3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T11" sqref="T11"/>
    </sheetView>
  </sheetViews>
  <sheetFormatPr defaultRowHeight="14.4" x14ac:dyDescent="0.3"/>
  <sheetData>
    <row r="1" spans="1:18" x14ac:dyDescent="0.3">
      <c r="A1" s="9" t="s">
        <v>75</v>
      </c>
      <c r="B1" s="9" t="s">
        <v>56</v>
      </c>
      <c r="C1" t="s">
        <v>96</v>
      </c>
      <c r="D1">
        <f>0.011*0.011</f>
        <v>1.2099999999999999E-4</v>
      </c>
      <c r="H1" s="19" t="s">
        <v>69</v>
      </c>
      <c r="I1" s="19" t="s">
        <v>70</v>
      </c>
      <c r="J1" s="60" t="s">
        <v>71</v>
      </c>
      <c r="K1" s="61" t="s">
        <v>72</v>
      </c>
      <c r="N1">
        <v>1</v>
      </c>
      <c r="O1">
        <v>2</v>
      </c>
      <c r="P1">
        <v>3</v>
      </c>
      <c r="Q1">
        <v>4</v>
      </c>
      <c r="R1">
        <v>5</v>
      </c>
    </row>
    <row r="2" spans="1:18" x14ac:dyDescent="0.3">
      <c r="A2" t="s">
        <v>65</v>
      </c>
      <c r="B2" s="7">
        <v>1</v>
      </c>
      <c r="C2">
        <v>3.9699999999999999E-2</v>
      </c>
      <c r="D2">
        <v>2.41E-2</v>
      </c>
      <c r="E2">
        <v>3.1800000000000002E-2</v>
      </c>
      <c r="H2" s="62">
        <f>AVERAGE(C2:G2)</f>
        <v>3.1866666666666661E-2</v>
      </c>
      <c r="I2" s="62">
        <f>STDEV(C2:G2)/SQRT(COUNT(C2:G2))</f>
        <v>4.5034554634315231E-3</v>
      </c>
      <c r="J2" s="63">
        <f>I2*100/H2</f>
        <v>14.132182416626122</v>
      </c>
      <c r="K2" s="64">
        <f>STDEV(C2:G2)*100/H2</f>
        <v>24.477657967427959</v>
      </c>
      <c r="M2" t="s">
        <v>55</v>
      </c>
    </row>
    <row r="3" spans="1:18" x14ac:dyDescent="0.3">
      <c r="B3" s="9">
        <v>2</v>
      </c>
      <c r="C3">
        <v>2.86E-2</v>
      </c>
      <c r="D3">
        <v>2.86E-2</v>
      </c>
      <c r="E3">
        <v>2.9899999999999999E-2</v>
      </c>
      <c r="H3" s="62">
        <f t="shared" ref="H3:H31" si="0">AVERAGE(C3:G3)</f>
        <v>2.9033333333333331E-2</v>
      </c>
      <c r="I3" s="62">
        <f t="shared" ref="I3:I31" si="1">STDEV(C3:G3)/SQRT(COUNT(C3:G3))</f>
        <v>4.3333333333333304E-4</v>
      </c>
      <c r="J3" s="63">
        <f t="shared" ref="J3:J31" si="2">I3*100/H3</f>
        <v>1.492537313432835</v>
      </c>
      <c r="K3" s="64">
        <f t="shared" ref="K3:K31" si="3">STDEV(C3:G3)*100/H3</f>
        <v>2.5851504590580241</v>
      </c>
      <c r="M3" t="s">
        <v>193</v>
      </c>
      <c r="N3">
        <v>2.47E-2</v>
      </c>
      <c r="O3">
        <v>2.9100000000000001E-2</v>
      </c>
      <c r="P3">
        <v>3.7600000000000001E-2</v>
      </c>
      <c r="Q3">
        <v>2.7900000000000001E-2</v>
      </c>
      <c r="R3">
        <v>2.4E-2</v>
      </c>
    </row>
    <row r="4" spans="1:18" x14ac:dyDescent="0.3">
      <c r="B4">
        <v>3</v>
      </c>
      <c r="C4">
        <v>0.03</v>
      </c>
      <c r="D4">
        <v>3.2899999999999999E-2</v>
      </c>
      <c r="E4">
        <v>3.3799999999999997E-2</v>
      </c>
      <c r="H4" s="62">
        <f t="shared" si="0"/>
        <v>3.2233333333333329E-2</v>
      </c>
      <c r="I4" s="62">
        <f t="shared" si="1"/>
        <v>1.1464922347946555E-3</v>
      </c>
      <c r="J4" s="63">
        <f t="shared" si="2"/>
        <v>3.5568528483805246</v>
      </c>
      <c r="K4" s="64">
        <f t="shared" si="3"/>
        <v>6.1606498484411487</v>
      </c>
      <c r="M4" t="s">
        <v>64</v>
      </c>
      <c r="N4">
        <v>3.3300000000000003E-2</v>
      </c>
      <c r="O4">
        <v>2.98E-2</v>
      </c>
      <c r="P4">
        <v>2.9600000000000001E-2</v>
      </c>
      <c r="Q4">
        <v>3.7600000000000001E-2</v>
      </c>
      <c r="R4">
        <v>4.5900000000000003E-2</v>
      </c>
    </row>
    <row r="5" spans="1:18" x14ac:dyDescent="0.3">
      <c r="B5">
        <v>4</v>
      </c>
      <c r="C5">
        <v>3.4099999999999998E-2</v>
      </c>
      <c r="D5">
        <v>3.5999999999999997E-2</v>
      </c>
      <c r="E5">
        <v>3.3300000000000003E-2</v>
      </c>
      <c r="H5" s="62">
        <f t="shared" si="0"/>
        <v>3.4466666666666666E-2</v>
      </c>
      <c r="I5" s="62">
        <f t="shared" si="1"/>
        <v>8.0069414329761955E-4</v>
      </c>
      <c r="J5" s="63">
        <f t="shared" si="2"/>
        <v>2.3230971275559562</v>
      </c>
      <c r="K5" s="64">
        <f t="shared" si="3"/>
        <v>4.0237222558442323</v>
      </c>
      <c r="M5" t="s">
        <v>63</v>
      </c>
      <c r="N5">
        <v>2.52E-2</v>
      </c>
      <c r="O5">
        <v>2.1899999999999999E-2</v>
      </c>
      <c r="P5">
        <v>0.02</v>
      </c>
      <c r="Q5">
        <v>2.1000000000000001E-2</v>
      </c>
      <c r="R5">
        <v>2.1000000000000001E-2</v>
      </c>
    </row>
    <row r="6" spans="1:18" x14ac:dyDescent="0.3">
      <c r="B6">
        <v>5</v>
      </c>
      <c r="C6">
        <v>3.27E-2</v>
      </c>
      <c r="D6">
        <v>3.56E-2</v>
      </c>
      <c r="E6">
        <v>4.0899999999999999E-2</v>
      </c>
      <c r="H6" s="62">
        <f t="shared" si="0"/>
        <v>3.6399999999999995E-2</v>
      </c>
      <c r="I6" s="62">
        <f t="shared" si="1"/>
        <v>2.4006943440041117E-3</v>
      </c>
      <c r="J6" s="63">
        <f t="shared" si="2"/>
        <v>6.5953141318794284</v>
      </c>
      <c r="K6" s="64">
        <f t="shared" si="3"/>
        <v>11.423419168292192</v>
      </c>
      <c r="M6" t="s">
        <v>194</v>
      </c>
      <c r="N6">
        <v>2.86E-2</v>
      </c>
      <c r="O6">
        <v>2.64E-2</v>
      </c>
      <c r="P6">
        <v>2.4E-2</v>
      </c>
      <c r="Q6">
        <v>1.9099999999999999E-2</v>
      </c>
      <c r="R6">
        <v>2.52E-2</v>
      </c>
    </row>
    <row r="7" spans="1:18" x14ac:dyDescent="0.3">
      <c r="A7" t="s">
        <v>66</v>
      </c>
      <c r="B7" s="7">
        <v>1</v>
      </c>
      <c r="C7">
        <v>2.5399999999999999E-2</v>
      </c>
      <c r="D7">
        <v>3.3399999999999999E-2</v>
      </c>
      <c r="E7">
        <v>3.0499999999999999E-2</v>
      </c>
      <c r="F7">
        <v>1.83E-2</v>
      </c>
      <c r="G7">
        <v>2.1899999999999999E-2</v>
      </c>
      <c r="H7" s="62">
        <f t="shared" si="0"/>
        <v>2.5899999999999996E-2</v>
      </c>
      <c r="I7" s="62">
        <f t="shared" si="1"/>
        <v>2.7515450205293887E-3</v>
      </c>
      <c r="J7" s="63">
        <f t="shared" si="2"/>
        <v>10.62372594798992</v>
      </c>
      <c r="K7" s="64">
        <f t="shared" si="3"/>
        <v>23.755373394033857</v>
      </c>
      <c r="M7" t="s">
        <v>195</v>
      </c>
      <c r="N7">
        <v>0.02</v>
      </c>
      <c r="O7">
        <v>1.8800000000000001E-2</v>
      </c>
      <c r="P7">
        <v>0.02</v>
      </c>
      <c r="Q7">
        <v>1.55E-2</v>
      </c>
      <c r="R7">
        <v>0.16200000000000001</v>
      </c>
    </row>
    <row r="8" spans="1:18" x14ac:dyDescent="0.3">
      <c r="B8" s="9">
        <v>2</v>
      </c>
      <c r="C8">
        <v>3.15E-2</v>
      </c>
      <c r="D8">
        <v>2.7E-2</v>
      </c>
      <c r="E8">
        <v>3.2500000000000001E-2</v>
      </c>
      <c r="F8">
        <v>0.03</v>
      </c>
      <c r="G8">
        <v>2.29E-2</v>
      </c>
      <c r="H8" s="62">
        <f t="shared" si="0"/>
        <v>2.878E-2</v>
      </c>
      <c r="I8" s="62">
        <f t="shared" si="1"/>
        <v>1.7387926845946874E-3</v>
      </c>
      <c r="J8" s="63">
        <f t="shared" si="2"/>
        <v>6.041670203595161</v>
      </c>
      <c r="K8" s="64">
        <f t="shared" si="3"/>
        <v>13.509585272873775</v>
      </c>
      <c r="M8" t="s">
        <v>196</v>
      </c>
      <c r="N8">
        <v>2.2100000000000002E-2</v>
      </c>
      <c r="O8">
        <v>1.9E-2</v>
      </c>
      <c r="P8">
        <v>1.83E-2</v>
      </c>
      <c r="Q8">
        <v>1.7600000000000001E-2</v>
      </c>
      <c r="R8">
        <v>1.5699999999999999E-2</v>
      </c>
    </row>
    <row r="9" spans="1:18" x14ac:dyDescent="0.3">
      <c r="B9">
        <v>3</v>
      </c>
      <c r="C9">
        <v>3.1399999999999997E-2</v>
      </c>
      <c r="D9">
        <v>3.4299999999999997E-2</v>
      </c>
      <c r="E9">
        <v>2.93E-2</v>
      </c>
      <c r="F9">
        <v>3.2599999999999997E-2</v>
      </c>
      <c r="G9">
        <v>4.5499999999999999E-2</v>
      </c>
      <c r="H9" s="62">
        <f t="shared" si="0"/>
        <v>3.4619999999999998E-2</v>
      </c>
      <c r="I9" s="62">
        <f t="shared" si="1"/>
        <v>2.8392604670935098E-3</v>
      </c>
      <c r="J9" s="63">
        <f t="shared" si="2"/>
        <v>8.2012145207784819</v>
      </c>
      <c r="K9" s="64">
        <f t="shared" si="3"/>
        <v>18.338473166519044</v>
      </c>
      <c r="M9" t="s">
        <v>67</v>
      </c>
      <c r="N9">
        <v>3.0800000000000001E-2</v>
      </c>
      <c r="O9">
        <v>1.84E-2</v>
      </c>
      <c r="P9">
        <v>2.5700000000000001E-2</v>
      </c>
      <c r="Q9">
        <v>3.5200000000000002E-2</v>
      </c>
      <c r="R9">
        <v>2.6599999999999999E-2</v>
      </c>
    </row>
    <row r="10" spans="1:18" x14ac:dyDescent="0.3">
      <c r="B10">
        <v>4</v>
      </c>
      <c r="C10">
        <v>3.4500000000000003E-2</v>
      </c>
      <c r="D10">
        <v>3.2399999999999998E-2</v>
      </c>
      <c r="E10">
        <v>2.8899999999999999E-2</v>
      </c>
      <c r="F10">
        <v>2.8799999999999999E-2</v>
      </c>
      <c r="G10">
        <v>3.1800000000000002E-2</v>
      </c>
      <c r="H10" s="62">
        <f t="shared" si="0"/>
        <v>3.1279999999999995E-2</v>
      </c>
      <c r="I10" s="62">
        <f t="shared" si="1"/>
        <v>1.0887607634370378E-3</v>
      </c>
      <c r="J10" s="63">
        <f t="shared" si="2"/>
        <v>3.4806929777398912</v>
      </c>
      <c r="K10" s="64">
        <f t="shared" si="3"/>
        <v>7.7830661070325595</v>
      </c>
      <c r="M10" t="s">
        <v>197</v>
      </c>
      <c r="N10">
        <v>3.8199999999999998E-2</v>
      </c>
      <c r="O10">
        <v>4.6600000000000003E-2</v>
      </c>
      <c r="P10">
        <v>4.5499999999999999E-2</v>
      </c>
      <c r="Q10">
        <v>5.6399999999999999E-2</v>
      </c>
      <c r="R10">
        <v>4.2000000000000003E-2</v>
      </c>
    </row>
    <row r="11" spans="1:18" x14ac:dyDescent="0.3">
      <c r="B11">
        <v>5</v>
      </c>
      <c r="C11">
        <v>4.2299999999999997E-2</v>
      </c>
      <c r="D11">
        <v>0.04</v>
      </c>
      <c r="E11">
        <v>3.32E-2</v>
      </c>
      <c r="F11">
        <v>0.04</v>
      </c>
      <c r="G11">
        <v>2.8299999999999999E-2</v>
      </c>
      <c r="H11" s="62">
        <f t="shared" si="0"/>
        <v>3.6760000000000001E-2</v>
      </c>
      <c r="I11" s="62">
        <f t="shared" si="1"/>
        <v>2.60702896033013E-3</v>
      </c>
      <c r="J11" s="63">
        <f t="shared" si="2"/>
        <v>7.092026551496545</v>
      </c>
      <c r="K11" s="64">
        <f t="shared" si="3"/>
        <v>15.858253467379688</v>
      </c>
      <c r="M11" t="s">
        <v>198</v>
      </c>
      <c r="N11">
        <v>2.06E-2</v>
      </c>
      <c r="O11">
        <v>2.4E-2</v>
      </c>
      <c r="P11">
        <v>2.1499999999999998E-2</v>
      </c>
      <c r="Q11">
        <v>1.7500000000000002E-2</v>
      </c>
      <c r="R11">
        <v>2.2700000000000001E-2</v>
      </c>
    </row>
    <row r="12" spans="1:18" x14ac:dyDescent="0.3">
      <c r="A12" s="1" t="s">
        <v>58</v>
      </c>
      <c r="B12" s="7">
        <v>1</v>
      </c>
      <c r="C12">
        <v>2.2499999999999999E-2</v>
      </c>
      <c r="D12">
        <v>2.4E-2</v>
      </c>
      <c r="E12">
        <v>2.6599999999999999E-2</v>
      </c>
      <c r="F12">
        <v>2.29E-2</v>
      </c>
      <c r="G12">
        <v>2.1999999999999999E-2</v>
      </c>
      <c r="H12" s="62">
        <f t="shared" si="0"/>
        <v>2.3599999999999999E-2</v>
      </c>
      <c r="I12" s="62">
        <f t="shared" si="1"/>
        <v>8.1914589665089564E-4</v>
      </c>
      <c r="J12" s="63">
        <f t="shared" si="2"/>
        <v>3.4709571891987103</v>
      </c>
      <c r="K12" s="64">
        <f t="shared" si="3"/>
        <v>7.7612962220399169</v>
      </c>
      <c r="M12" t="s">
        <v>199</v>
      </c>
      <c r="N12">
        <v>2.0199999999999999E-2</v>
      </c>
      <c r="O12">
        <v>3.1399999999999997E-2</v>
      </c>
      <c r="P12">
        <v>2.0500000000000001E-2</v>
      </c>
      <c r="Q12">
        <v>2.18E-2</v>
      </c>
      <c r="R12">
        <v>2.7E-2</v>
      </c>
    </row>
    <row r="13" spans="1:18" x14ac:dyDescent="0.3">
      <c r="A13" s="1"/>
      <c r="B13" s="9">
        <v>2</v>
      </c>
      <c r="C13">
        <v>2.5600000000000001E-2</v>
      </c>
      <c r="D13">
        <v>2.3900000000000001E-2</v>
      </c>
      <c r="E13">
        <v>2.18E-2</v>
      </c>
      <c r="F13">
        <v>2.1399999999999999E-2</v>
      </c>
      <c r="G13">
        <v>1.7999999999999999E-2</v>
      </c>
      <c r="H13" s="62">
        <f t="shared" si="0"/>
        <v>2.214E-2</v>
      </c>
      <c r="I13" s="62">
        <f t="shared" si="1"/>
        <v>1.2820296408429883E-3</v>
      </c>
      <c r="J13" s="63">
        <f t="shared" si="2"/>
        <v>5.790558450058664</v>
      </c>
      <c r="K13" s="64">
        <f t="shared" si="3"/>
        <v>12.948082322016994</v>
      </c>
      <c r="M13" t="s">
        <v>200</v>
      </c>
      <c r="N13">
        <v>1.8599999999999998E-2</v>
      </c>
      <c r="O13">
        <v>1.9099999999999999E-2</v>
      </c>
      <c r="P13">
        <v>1.4200000000000001E-2</v>
      </c>
      <c r="Q13">
        <v>1.84E-2</v>
      </c>
      <c r="R13">
        <v>1.7999999999999999E-2</v>
      </c>
    </row>
    <row r="14" spans="1:18" x14ac:dyDescent="0.3">
      <c r="A14" s="1"/>
      <c r="B14">
        <v>3</v>
      </c>
      <c r="C14">
        <v>2.1100000000000001E-2</v>
      </c>
      <c r="D14">
        <v>2.5600000000000001E-2</v>
      </c>
      <c r="E14">
        <v>2.7900000000000001E-2</v>
      </c>
      <c r="F14">
        <v>3.1699999999999999E-2</v>
      </c>
      <c r="G14">
        <v>3.2599999999999997E-2</v>
      </c>
      <c r="H14" s="62">
        <f t="shared" si="0"/>
        <v>2.7779999999999999E-2</v>
      </c>
      <c r="I14" s="62">
        <f t="shared" si="1"/>
        <v>2.0974746720759225E-3</v>
      </c>
      <c r="J14" s="63">
        <f t="shared" si="2"/>
        <v>7.5503047950897137</v>
      </c>
      <c r="K14" s="64">
        <f>STDEV(C14:G14)*100/H14</f>
        <v>16.882994772663221</v>
      </c>
      <c r="M14" t="s">
        <v>201</v>
      </c>
      <c r="N14">
        <v>1.6E-2</v>
      </c>
      <c r="O14">
        <v>1.37E-2</v>
      </c>
      <c r="P14">
        <v>2.07E-2</v>
      </c>
      <c r="Q14">
        <v>2.0199999999999999E-2</v>
      </c>
      <c r="R14">
        <v>2.4E-2</v>
      </c>
    </row>
    <row r="15" spans="1:18" x14ac:dyDescent="0.3">
      <c r="B15">
        <v>4</v>
      </c>
      <c r="C15">
        <v>2.1499999999999998E-2</v>
      </c>
      <c r="D15">
        <v>2.5600000000000001E-2</v>
      </c>
      <c r="E15">
        <v>2.7900000000000001E-2</v>
      </c>
      <c r="F15">
        <v>3.1699999999999999E-2</v>
      </c>
      <c r="G15">
        <v>3.2599999999999997E-2</v>
      </c>
      <c r="H15" s="62">
        <f t="shared" si="0"/>
        <v>2.7860000000000003E-2</v>
      </c>
      <c r="I15" s="62">
        <f t="shared" si="1"/>
        <v>2.0343549346168673E-3</v>
      </c>
      <c r="J15" s="63">
        <f t="shared" si="2"/>
        <v>7.3020636561983743</v>
      </c>
      <c r="K15" s="64">
        <f t="shared" si="3"/>
        <v>16.327910711290219</v>
      </c>
      <c r="M15" t="s">
        <v>202</v>
      </c>
      <c r="N15">
        <v>1.9300000000000001E-2</v>
      </c>
      <c r="O15">
        <v>1.7100000000000001E-2</v>
      </c>
      <c r="P15">
        <v>1.5900000000000001E-2</v>
      </c>
      <c r="Q15">
        <v>1.4E-2</v>
      </c>
      <c r="R15">
        <v>1.34E-2</v>
      </c>
    </row>
    <row r="16" spans="1:18" x14ac:dyDescent="0.3">
      <c r="B16">
        <v>5</v>
      </c>
      <c r="C16">
        <v>2.3199999999999998E-2</v>
      </c>
      <c r="D16">
        <v>2.41E-2</v>
      </c>
      <c r="E16">
        <v>2.2200000000000001E-2</v>
      </c>
      <c r="F16">
        <v>3.1099999999999999E-2</v>
      </c>
      <c r="G16">
        <v>2.76E-2</v>
      </c>
      <c r="H16" s="62">
        <f t="shared" si="0"/>
        <v>2.5639999999999996E-2</v>
      </c>
      <c r="I16" s="62">
        <f t="shared" si="1"/>
        <v>1.6403048497154421E-3</v>
      </c>
      <c r="J16" s="63">
        <f t="shared" si="2"/>
        <v>6.3974448116826927</v>
      </c>
      <c r="K16" s="64">
        <f t="shared" si="3"/>
        <v>14.305121481225841</v>
      </c>
      <c r="M16" t="s">
        <v>203</v>
      </c>
      <c r="N16">
        <v>5.3999999999999999E-2</v>
      </c>
      <c r="O16">
        <v>6.7599999999999993E-2</v>
      </c>
      <c r="P16">
        <v>4.99E-2</v>
      </c>
      <c r="Q16">
        <v>6.1199999999999997E-2</v>
      </c>
      <c r="R16">
        <v>5.2200000000000003E-2</v>
      </c>
    </row>
    <row r="17" spans="1:18" x14ac:dyDescent="0.3">
      <c r="A17" t="s">
        <v>63</v>
      </c>
      <c r="B17" s="7">
        <v>1</v>
      </c>
      <c r="C17">
        <v>2.1299999999999999E-2</v>
      </c>
      <c r="D17">
        <v>2.46E-2</v>
      </c>
      <c r="E17">
        <v>2.6200000000000001E-2</v>
      </c>
      <c r="F17">
        <v>2.1499999999999998E-2</v>
      </c>
      <c r="G17">
        <v>1.7999999999999999E-2</v>
      </c>
      <c r="H17" s="62">
        <f t="shared" si="0"/>
        <v>2.232E-2</v>
      </c>
      <c r="I17" s="62">
        <f t="shared" si="1"/>
        <v>1.4252719038836067E-3</v>
      </c>
      <c r="J17" s="63">
        <f t="shared" si="2"/>
        <v>6.3856268095143669</v>
      </c>
      <c r="K17" s="64">
        <f t="shared" si="3"/>
        <v>14.278695625019227</v>
      </c>
      <c r="M17" t="s">
        <v>204</v>
      </c>
      <c r="N17">
        <v>2.1399999999999999E-2</v>
      </c>
      <c r="O17">
        <v>2.07E-2</v>
      </c>
      <c r="P17">
        <v>2.92E-2</v>
      </c>
      <c r="Q17">
        <v>2.1600000000000001E-2</v>
      </c>
      <c r="R17">
        <v>2.2499999999999999E-2</v>
      </c>
    </row>
    <row r="18" spans="1:18" x14ac:dyDescent="0.3">
      <c r="B18" s="9">
        <v>2</v>
      </c>
      <c r="C18">
        <v>2.5999999999999999E-2</v>
      </c>
      <c r="D18">
        <v>3.32E-2</v>
      </c>
      <c r="E18">
        <v>3.7199999999999997E-2</v>
      </c>
      <c r="F18">
        <v>2.9600000000000001E-2</v>
      </c>
      <c r="G18">
        <v>2.5999999999999999E-2</v>
      </c>
      <c r="H18" s="62">
        <f t="shared" si="0"/>
        <v>3.04E-2</v>
      </c>
      <c r="I18" s="62">
        <f t="shared" si="1"/>
        <v>2.1614809737770069E-3</v>
      </c>
      <c r="J18" s="63">
        <f t="shared" si="2"/>
        <v>7.1101347821612064</v>
      </c>
      <c r="K18" s="64">
        <f t="shared" si="3"/>
        <v>15.898744702098117</v>
      </c>
      <c r="M18" t="s">
        <v>58</v>
      </c>
      <c r="N18">
        <v>1.89E-2</v>
      </c>
      <c r="O18">
        <v>1.4E-2</v>
      </c>
      <c r="P18">
        <v>1.49E-2</v>
      </c>
      <c r="Q18">
        <v>1.7100000000000001E-2</v>
      </c>
      <c r="R18">
        <v>2.2599999999999999E-2</v>
      </c>
    </row>
    <row r="19" spans="1:18" x14ac:dyDescent="0.3">
      <c r="B19">
        <v>3</v>
      </c>
      <c r="C19">
        <v>3.5499999999999997E-2</v>
      </c>
      <c r="D19">
        <v>3.73E-2</v>
      </c>
      <c r="E19">
        <v>3.1600000000000003E-2</v>
      </c>
      <c r="F19">
        <v>2.9499999999999998E-2</v>
      </c>
      <c r="G19">
        <v>0.03</v>
      </c>
      <c r="H19" s="62">
        <f t="shared" si="0"/>
        <v>3.2780000000000004E-2</v>
      </c>
      <c r="I19" s="62">
        <f t="shared" si="1"/>
        <v>1.544474020500183E-3</v>
      </c>
      <c r="J19" s="63">
        <f t="shared" si="2"/>
        <v>4.7116352059188005</v>
      </c>
      <c r="K19" s="64">
        <f t="shared" si="3"/>
        <v>10.535536605615658</v>
      </c>
      <c r="M19" t="s">
        <v>66</v>
      </c>
      <c r="N19">
        <v>1.9900000000000001E-2</v>
      </c>
      <c r="O19">
        <v>1.8100000000000002E-2</v>
      </c>
    </row>
    <row r="20" spans="1:18" x14ac:dyDescent="0.3">
      <c r="B20">
        <v>4</v>
      </c>
      <c r="C20">
        <v>4.2099999999999999E-2</v>
      </c>
      <c r="D20">
        <v>3.9300000000000002E-2</v>
      </c>
      <c r="E20">
        <v>2.63E-2</v>
      </c>
      <c r="F20">
        <v>3.5499999999999997E-2</v>
      </c>
      <c r="G20">
        <v>3.0300000000000001E-2</v>
      </c>
      <c r="H20" s="62">
        <f t="shared" si="0"/>
        <v>3.4699999999999995E-2</v>
      </c>
      <c r="I20" s="62">
        <f t="shared" si="1"/>
        <v>2.8851343122981376E-3</v>
      </c>
      <c r="J20" s="63">
        <f t="shared" si="2"/>
        <v>8.3145081046055846</v>
      </c>
      <c r="K20" s="64">
        <f t="shared" si="3"/>
        <v>18.591805321371023</v>
      </c>
      <c r="M20" t="s">
        <v>205</v>
      </c>
      <c r="N20">
        <v>1.7600000000000001E-2</v>
      </c>
      <c r="O20">
        <v>2.0199999999999999E-2</v>
      </c>
      <c r="P20">
        <v>1.9900000000000001E-2</v>
      </c>
      <c r="Q20">
        <v>1.9E-2</v>
      </c>
      <c r="R20">
        <v>1.7000000000000001E-2</v>
      </c>
    </row>
    <row r="21" spans="1:18" x14ac:dyDescent="0.3">
      <c r="B21">
        <v>5</v>
      </c>
      <c r="C21">
        <v>3.2000000000000001E-2</v>
      </c>
      <c r="D21">
        <v>3.73E-2</v>
      </c>
      <c r="E21">
        <v>4.1000000000000002E-2</v>
      </c>
      <c r="F21">
        <v>3.9800000000000002E-2</v>
      </c>
      <c r="G21">
        <v>4.2200000000000001E-2</v>
      </c>
      <c r="H21" s="62">
        <f t="shared" si="0"/>
        <v>3.8460000000000008E-2</v>
      </c>
      <c r="I21" s="62">
        <f t="shared" si="1"/>
        <v>1.8070971196922428E-3</v>
      </c>
      <c r="J21" s="63">
        <f t="shared" si="2"/>
        <v>4.6986404568181026</v>
      </c>
      <c r="K21" s="64">
        <f t="shared" si="3"/>
        <v>10.506479463275944</v>
      </c>
      <c r="M21" t="s">
        <v>206</v>
      </c>
      <c r="N21">
        <v>1.9599999999999999E-2</v>
      </c>
      <c r="O21">
        <v>1.8499999999999999E-2</v>
      </c>
      <c r="P21">
        <v>2.1100000000000001E-2</v>
      </c>
      <c r="Q21">
        <v>2.3199999999999998E-2</v>
      </c>
      <c r="R21">
        <v>2.1700000000000001E-2</v>
      </c>
    </row>
    <row r="22" spans="1:18" x14ac:dyDescent="0.3">
      <c r="A22" t="s">
        <v>64</v>
      </c>
      <c r="B22" s="7">
        <v>1</v>
      </c>
      <c r="C22">
        <v>3.6799999999999999E-2</v>
      </c>
      <c r="D22">
        <v>2.7799999999999998E-2</v>
      </c>
      <c r="E22">
        <v>2.8199999999999999E-2</v>
      </c>
      <c r="F22">
        <v>2.81E-2</v>
      </c>
      <c r="G22">
        <v>3.49E-2</v>
      </c>
      <c r="H22" s="62">
        <f t="shared" si="0"/>
        <v>3.116E-2</v>
      </c>
      <c r="I22" s="62">
        <f t="shared" si="1"/>
        <v>1.9392266499818943E-3</v>
      </c>
      <c r="J22" s="63">
        <f t="shared" si="2"/>
        <v>6.2234488125221255</v>
      </c>
      <c r="K22" s="64">
        <f t="shared" si="3"/>
        <v>13.916054599289817</v>
      </c>
      <c r="M22" t="s">
        <v>207</v>
      </c>
      <c r="N22">
        <v>1.67E-2</v>
      </c>
      <c r="O22">
        <v>1.66E-2</v>
      </c>
      <c r="P22">
        <v>1.3599999999999999E-2</v>
      </c>
      <c r="Q22">
        <v>1.5100000000000001E-2</v>
      </c>
      <c r="R22">
        <v>1.8700000000000001E-2</v>
      </c>
    </row>
    <row r="23" spans="1:18" x14ac:dyDescent="0.3">
      <c r="B23" s="9">
        <v>2</v>
      </c>
      <c r="C23">
        <v>4.0800000000000003E-2</v>
      </c>
      <c r="D23">
        <v>3.8800000000000001E-2</v>
      </c>
      <c r="E23">
        <v>3.2800000000000003E-2</v>
      </c>
      <c r="F23">
        <v>3.6600000000000001E-2</v>
      </c>
      <c r="G23">
        <v>3.6299999999999999E-2</v>
      </c>
      <c r="H23" s="62">
        <f t="shared" si="0"/>
        <v>3.7059999999999996E-2</v>
      </c>
      <c r="I23" s="62">
        <f t="shared" si="1"/>
        <v>1.3407460609675495E-3</v>
      </c>
      <c r="J23" s="63">
        <f t="shared" si="2"/>
        <v>3.61777134637763</v>
      </c>
      <c r="K23" s="64">
        <f t="shared" si="3"/>
        <v>8.0895826575513183</v>
      </c>
      <c r="M23" t="s">
        <v>208</v>
      </c>
      <c r="N23">
        <v>1.3100000000000001E-2</v>
      </c>
      <c r="O23">
        <v>1.8100000000000002E-2</v>
      </c>
      <c r="P23">
        <v>1.3299999999999999E-2</v>
      </c>
      <c r="Q23">
        <v>1.43E-2</v>
      </c>
      <c r="R23">
        <v>1.3899999999999999E-2</v>
      </c>
    </row>
    <row r="24" spans="1:18" x14ac:dyDescent="0.3">
      <c r="B24">
        <v>3</v>
      </c>
      <c r="C24">
        <v>3.5499999999999997E-2</v>
      </c>
      <c r="D24">
        <v>4.1599999999999998E-2</v>
      </c>
      <c r="E24">
        <v>4.6899999999999997E-2</v>
      </c>
      <c r="F24">
        <v>4.3299999999999998E-2</v>
      </c>
      <c r="G24">
        <v>4.5600000000000002E-2</v>
      </c>
      <c r="H24" s="62">
        <f t="shared" si="0"/>
        <v>4.258E-2</v>
      </c>
      <c r="I24" s="62">
        <f t="shared" si="1"/>
        <v>1.9923353131438494E-3</v>
      </c>
      <c r="J24" s="63">
        <f t="shared" si="2"/>
        <v>4.6790401905679886</v>
      </c>
      <c r="K24" s="64">
        <f t="shared" si="3"/>
        <v>10.462651935563594</v>
      </c>
      <c r="M24" t="s">
        <v>209</v>
      </c>
      <c r="N24">
        <v>1.72E-2</v>
      </c>
      <c r="O24">
        <v>1.6E-2</v>
      </c>
      <c r="P24">
        <v>1.5800000000000002E-2</v>
      </c>
      <c r="Q24">
        <v>1.7600000000000001E-2</v>
      </c>
      <c r="R24">
        <v>1.77E-2</v>
      </c>
    </row>
    <row r="25" spans="1:18" x14ac:dyDescent="0.3">
      <c r="B25">
        <v>4</v>
      </c>
      <c r="C25">
        <v>4.0800000000000003E-2</v>
      </c>
      <c r="D25">
        <v>3.9399999999999998E-2</v>
      </c>
      <c r="E25">
        <v>4.7199999999999999E-2</v>
      </c>
      <c r="F25">
        <v>4.3400000000000001E-2</v>
      </c>
      <c r="G25">
        <v>4.6899999999999997E-2</v>
      </c>
      <c r="H25" s="62">
        <f t="shared" si="0"/>
        <v>4.3539999999999995E-2</v>
      </c>
      <c r="I25" s="62">
        <f t="shared" si="1"/>
        <v>1.5708596372687148E-3</v>
      </c>
      <c r="J25" s="63">
        <f t="shared" si="2"/>
        <v>3.6078540130195567</v>
      </c>
      <c r="K25" s="64">
        <f t="shared" si="3"/>
        <v>8.0674068260071419</v>
      </c>
      <c r="M25" t="s">
        <v>210</v>
      </c>
      <c r="N25">
        <v>1.9199999999999998E-2</v>
      </c>
      <c r="O25">
        <v>2.3599999999999999E-2</v>
      </c>
      <c r="P25">
        <v>2.0899999999999998E-2</v>
      </c>
      <c r="Q25">
        <v>2.2800000000000001E-2</v>
      </c>
      <c r="R25">
        <v>1.84E-2</v>
      </c>
    </row>
    <row r="26" spans="1:18" x14ac:dyDescent="0.3">
      <c r="B26">
        <v>5</v>
      </c>
      <c r="C26">
        <v>4.3799999999999999E-2</v>
      </c>
      <c r="D26">
        <v>6.3299999999999995E-2</v>
      </c>
      <c r="E26">
        <v>4.1000000000000002E-2</v>
      </c>
      <c r="F26">
        <v>3.0099999999999998E-2</v>
      </c>
      <c r="G26">
        <v>4.24E-2</v>
      </c>
      <c r="H26" s="62">
        <f t="shared" si="0"/>
        <v>4.4119999999999999E-2</v>
      </c>
      <c r="I26" s="62">
        <f t="shared" si="1"/>
        <v>5.372280707483558E-3</v>
      </c>
      <c r="J26" s="63">
        <f t="shared" si="2"/>
        <v>12.176520189219305</v>
      </c>
      <c r="K26" s="64">
        <f t="shared" si="3"/>
        <v>27.22752687249297</v>
      </c>
      <c r="M26" s="82" t="s">
        <v>254</v>
      </c>
      <c r="N26">
        <v>2.2800000000000001E-2</v>
      </c>
      <c r="O26">
        <v>3.2599999999999997E-2</v>
      </c>
      <c r="P26">
        <v>2.4299999999999999E-2</v>
      </c>
      <c r="Q26">
        <v>0.25</v>
      </c>
      <c r="R26">
        <v>0.21299999999999999</v>
      </c>
    </row>
    <row r="27" spans="1:18" x14ac:dyDescent="0.3">
      <c r="A27" t="s">
        <v>67</v>
      </c>
      <c r="B27" s="7">
        <v>1</v>
      </c>
      <c r="C27">
        <v>2.3900000000000001E-2</v>
      </c>
      <c r="D27">
        <v>2.8000000000000001E-2</v>
      </c>
      <c r="E27">
        <v>2.8500000000000001E-2</v>
      </c>
      <c r="F27">
        <v>2.7300000000000001E-2</v>
      </c>
      <c r="G27">
        <v>2.1499999999999998E-2</v>
      </c>
      <c r="H27" s="62">
        <f t="shared" si="0"/>
        <v>2.5840000000000002E-2</v>
      </c>
      <c r="I27" s="62">
        <f t="shared" si="1"/>
        <v>1.3504073459515841E-3</v>
      </c>
      <c r="J27" s="63">
        <f t="shared" si="2"/>
        <v>5.2260346205556658</v>
      </c>
      <c r="K27" s="64">
        <f t="shared" si="3"/>
        <v>11.685768664329789</v>
      </c>
      <c r="M27" t="s">
        <v>212</v>
      </c>
      <c r="N27">
        <v>3.5400000000000001E-2</v>
      </c>
      <c r="O27">
        <v>1.61E-2</v>
      </c>
      <c r="P27">
        <v>2.2599999999999999E-2</v>
      </c>
      <c r="Q27">
        <v>2.3900000000000001E-2</v>
      </c>
      <c r="R27">
        <v>2.1600000000000001E-2</v>
      </c>
    </row>
    <row r="28" spans="1:18" x14ac:dyDescent="0.3">
      <c r="B28" s="9">
        <v>2</v>
      </c>
      <c r="C28">
        <v>4.2000000000000003E-2</v>
      </c>
      <c r="D28">
        <v>3.1099999999999999E-2</v>
      </c>
      <c r="E28">
        <v>3.3099999999999997E-2</v>
      </c>
      <c r="F28">
        <v>2.53E-2</v>
      </c>
      <c r="G28">
        <v>2.7799999999999998E-2</v>
      </c>
      <c r="H28" s="62">
        <f t="shared" si="0"/>
        <v>3.1859999999999992E-2</v>
      </c>
      <c r="I28" s="62">
        <f t="shared" si="1"/>
        <v>2.8675076285862044E-3</v>
      </c>
      <c r="J28" s="63">
        <f t="shared" si="2"/>
        <v>9.0003378172825013</v>
      </c>
      <c r="K28" s="64">
        <f t="shared" si="3"/>
        <v>20.125367179905755</v>
      </c>
    </row>
    <row r="29" spans="1:18" x14ac:dyDescent="0.3">
      <c r="B29">
        <v>3</v>
      </c>
      <c r="C29">
        <v>2.5999999999999999E-2</v>
      </c>
      <c r="D29">
        <v>3.3000000000000002E-2</v>
      </c>
      <c r="E29">
        <v>3.49E-2</v>
      </c>
      <c r="F29">
        <v>4.0300000000000002E-2</v>
      </c>
      <c r="G29">
        <v>2.93E-2</v>
      </c>
      <c r="H29" s="62">
        <f t="shared" si="0"/>
        <v>3.2699999999999993E-2</v>
      </c>
      <c r="I29" s="62">
        <f t="shared" si="1"/>
        <v>2.4406966218684374E-3</v>
      </c>
      <c r="J29" s="63">
        <f t="shared" si="2"/>
        <v>7.4639040424111247</v>
      </c>
      <c r="K29" s="64">
        <f t="shared" si="3"/>
        <v>16.689796816366748</v>
      </c>
    </row>
    <row r="30" spans="1:18" x14ac:dyDescent="0.3">
      <c r="B30">
        <v>4</v>
      </c>
      <c r="C30">
        <v>4.5199999999999997E-2</v>
      </c>
      <c r="D30">
        <v>3.8800000000000001E-2</v>
      </c>
      <c r="E30">
        <v>3.0700000000000002E-2</v>
      </c>
      <c r="F30">
        <v>3.2500000000000001E-2</v>
      </c>
      <c r="G30">
        <v>2.5899999999999999E-2</v>
      </c>
      <c r="H30" s="62">
        <f t="shared" si="0"/>
        <v>3.4619999999999998E-2</v>
      </c>
      <c r="I30" s="62">
        <f t="shared" si="1"/>
        <v>3.356396877605498E-3</v>
      </c>
      <c r="J30" s="63">
        <f t="shared" si="2"/>
        <v>9.6949649844179611</v>
      </c>
      <c r="K30" s="64">
        <f t="shared" si="3"/>
        <v>21.67860074463875</v>
      </c>
    </row>
    <row r="31" spans="1:18" x14ac:dyDescent="0.3">
      <c r="B31">
        <v>5</v>
      </c>
      <c r="C31">
        <v>3.1399999999999997E-2</v>
      </c>
      <c r="D31">
        <v>2.9700000000000001E-2</v>
      </c>
      <c r="E31">
        <v>3.1E-2</v>
      </c>
      <c r="F31">
        <v>3.2099999999999997E-2</v>
      </c>
      <c r="G31">
        <v>3.2000000000000001E-2</v>
      </c>
      <c r="H31" s="62">
        <f t="shared" si="0"/>
        <v>3.124E-2</v>
      </c>
      <c r="I31" s="62">
        <f t="shared" si="1"/>
        <v>4.3428101501216882E-4</v>
      </c>
      <c r="J31" s="63">
        <f t="shared" si="2"/>
        <v>1.3901440941490679</v>
      </c>
      <c r="K31" s="64">
        <f t="shared" si="3"/>
        <v>3.1084566930371835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6163-8288-4D4B-BCE9-A252F3F259A2}">
  <dimension ref="A1:Q46"/>
  <sheetViews>
    <sheetView topLeftCell="A4" workbookViewId="0">
      <selection activeCell="J22" sqref="J22"/>
    </sheetView>
  </sheetViews>
  <sheetFormatPr defaultRowHeight="14.4" x14ac:dyDescent="0.3"/>
  <cols>
    <col min="2" max="2" width="8.88671875" style="58"/>
    <col min="5" max="5" width="11.44140625" bestFit="1" customWidth="1"/>
  </cols>
  <sheetData>
    <row r="1" spans="1:17" x14ac:dyDescent="0.3">
      <c r="A1" s="14" t="s">
        <v>75</v>
      </c>
      <c r="B1" s="56" t="s">
        <v>56</v>
      </c>
      <c r="C1" s="55" t="s">
        <v>97</v>
      </c>
      <c r="D1" s="55" t="s">
        <v>98</v>
      </c>
      <c r="E1" s="55" t="s">
        <v>99</v>
      </c>
      <c r="F1" s="55" t="s">
        <v>100</v>
      </c>
      <c r="G1" s="65" t="s">
        <v>143</v>
      </c>
      <c r="H1" s="65" t="s">
        <v>144</v>
      </c>
      <c r="L1" t="s">
        <v>216</v>
      </c>
      <c r="M1" t="s">
        <v>217</v>
      </c>
      <c r="N1" t="s">
        <v>218</v>
      </c>
      <c r="O1">
        <v>4</v>
      </c>
      <c r="P1" s="65" t="s">
        <v>143</v>
      </c>
      <c r="Q1" s="65" t="s">
        <v>144</v>
      </c>
    </row>
    <row r="2" spans="1:17" x14ac:dyDescent="0.3">
      <c r="A2" s="55" t="s">
        <v>65</v>
      </c>
      <c r="B2" s="57">
        <v>1</v>
      </c>
      <c r="C2" s="55" t="s">
        <v>101</v>
      </c>
      <c r="D2" s="55">
        <v>12.6921</v>
      </c>
      <c r="E2" s="55">
        <v>17.824999999999999</v>
      </c>
      <c r="F2" s="55">
        <v>12.874700000000001</v>
      </c>
      <c r="G2" s="17">
        <f>(F2-D2)*100/(E2-D2)</f>
        <v>3.5574431607863155</v>
      </c>
      <c r="H2" s="2">
        <f>100-G2</f>
        <v>96.44255683921368</v>
      </c>
      <c r="K2" t="s">
        <v>193</v>
      </c>
      <c r="L2">
        <v>18</v>
      </c>
      <c r="M2">
        <v>14.4504</v>
      </c>
      <c r="N2">
        <v>19.013400000000001</v>
      </c>
      <c r="O2">
        <v>14.619199999999999</v>
      </c>
      <c r="P2" s="17">
        <f>(O2-M2)*100/(N2-M2)</f>
        <v>3.699320622397527</v>
      </c>
      <c r="Q2" s="2">
        <f>100-P2</f>
        <v>96.300679377602478</v>
      </c>
    </row>
    <row r="3" spans="1:17" x14ac:dyDescent="0.3">
      <c r="A3" s="55"/>
      <c r="B3" s="57"/>
      <c r="C3" s="55" t="s">
        <v>102</v>
      </c>
      <c r="D3" s="55">
        <v>19.124099999999999</v>
      </c>
      <c r="E3" s="55">
        <v>24.040500000000002</v>
      </c>
      <c r="F3" s="55">
        <v>19.3035</v>
      </c>
      <c r="G3" s="17">
        <f t="shared" ref="G3:G46" si="0">(F3-D3)*100/(E3-D3)</f>
        <v>3.6490114718086608</v>
      </c>
      <c r="H3" s="2">
        <f t="shared" ref="H3:H46" si="1">100-G3</f>
        <v>96.350988528191337</v>
      </c>
      <c r="K3" t="s">
        <v>64</v>
      </c>
      <c r="L3">
        <v>6</v>
      </c>
      <c r="M3">
        <v>15.3109</v>
      </c>
      <c r="N3">
        <v>18.898299999999999</v>
      </c>
      <c r="O3">
        <v>15.470599999999999</v>
      </c>
      <c r="P3" s="17">
        <f t="shared" ref="P3:P26" si="2">(O3-M3)*100/(N3-M3)</f>
        <v>4.4516920332273822</v>
      </c>
      <c r="Q3" s="2">
        <f t="shared" ref="Q3:Q26" si="3">100-P3</f>
        <v>95.548307966772612</v>
      </c>
    </row>
    <row r="4" spans="1:17" x14ac:dyDescent="0.3">
      <c r="A4" s="55"/>
      <c r="B4" s="57"/>
      <c r="C4" s="66" t="s">
        <v>103</v>
      </c>
      <c r="D4" s="66">
        <v>17.0549</v>
      </c>
      <c r="E4" s="66">
        <v>19.3123</v>
      </c>
      <c r="F4" s="66">
        <v>17.184200000000001</v>
      </c>
      <c r="G4" s="67">
        <f t="shared" si="0"/>
        <v>5.7278284752370254</v>
      </c>
      <c r="H4" s="68">
        <f t="shared" si="1"/>
        <v>94.272171524762967</v>
      </c>
      <c r="K4" t="s">
        <v>63</v>
      </c>
      <c r="L4">
        <v>2</v>
      </c>
      <c r="M4">
        <v>12.5694</v>
      </c>
      <c r="N4">
        <v>20.967300000000002</v>
      </c>
      <c r="O4">
        <v>13.1473</v>
      </c>
      <c r="P4" s="17">
        <f t="shared" si="2"/>
        <v>6.8814822753307316</v>
      </c>
      <c r="Q4" s="2">
        <f t="shared" si="3"/>
        <v>93.118517724669275</v>
      </c>
    </row>
    <row r="5" spans="1:17" x14ac:dyDescent="0.3">
      <c r="A5" s="55"/>
      <c r="B5" s="56">
        <v>2</v>
      </c>
      <c r="C5" s="55" t="s">
        <v>104</v>
      </c>
      <c r="D5" s="55">
        <v>14.8881</v>
      </c>
      <c r="E5" s="55">
        <v>18.102</v>
      </c>
      <c r="F5" s="55">
        <v>15.0146</v>
      </c>
      <c r="G5" s="17">
        <f t="shared" si="0"/>
        <v>3.9360278789010246</v>
      </c>
      <c r="H5" s="2">
        <f t="shared" si="1"/>
        <v>96.063972121098971</v>
      </c>
      <c r="K5" t="s">
        <v>194</v>
      </c>
      <c r="L5">
        <v>120</v>
      </c>
      <c r="M5">
        <v>15.2621</v>
      </c>
      <c r="N5">
        <v>20.967300000000002</v>
      </c>
      <c r="O5">
        <v>15.408799999999999</v>
      </c>
      <c r="P5" s="17">
        <f t="shared" si="2"/>
        <v>2.5713384281006646</v>
      </c>
      <c r="Q5" s="2">
        <f t="shared" si="3"/>
        <v>97.42866157189934</v>
      </c>
    </row>
    <row r="6" spans="1:17" x14ac:dyDescent="0.3">
      <c r="A6" s="55"/>
      <c r="B6" s="56"/>
      <c r="C6" s="55" t="s">
        <v>105</v>
      </c>
      <c r="D6" s="55">
        <v>14.953200000000001</v>
      </c>
      <c r="E6" s="55">
        <v>18.297000000000001</v>
      </c>
      <c r="F6" s="55">
        <v>15.0946</v>
      </c>
      <c r="G6" s="17">
        <f t="shared" si="0"/>
        <v>4.2287218135055653</v>
      </c>
      <c r="H6" s="2">
        <f t="shared" si="1"/>
        <v>95.771278186494442</v>
      </c>
      <c r="K6" t="s">
        <v>195</v>
      </c>
      <c r="L6">
        <v>3</v>
      </c>
      <c r="M6">
        <v>18.9832</v>
      </c>
      <c r="N6">
        <v>22.455400000000001</v>
      </c>
      <c r="O6">
        <v>19.140999999999998</v>
      </c>
      <c r="P6" s="17">
        <f t="shared" si="2"/>
        <v>4.5446690858820959</v>
      </c>
      <c r="Q6" s="2">
        <f t="shared" si="3"/>
        <v>95.455330914117908</v>
      </c>
    </row>
    <row r="7" spans="1:17" x14ac:dyDescent="0.3">
      <c r="A7" s="55"/>
      <c r="B7" s="58">
        <v>3</v>
      </c>
      <c r="C7" s="55" t="s">
        <v>106</v>
      </c>
      <c r="D7" s="55">
        <v>19.1404</v>
      </c>
      <c r="E7" s="55">
        <v>22.599799999999998</v>
      </c>
      <c r="F7" s="55">
        <v>19.288</v>
      </c>
      <c r="G7" s="17">
        <f t="shared" si="0"/>
        <v>4.266635832803396</v>
      </c>
      <c r="H7" s="2">
        <f t="shared" si="1"/>
        <v>95.733364167196598</v>
      </c>
      <c r="K7" t="s">
        <v>196</v>
      </c>
      <c r="L7">
        <v>17</v>
      </c>
      <c r="M7">
        <v>18.947500000000002</v>
      </c>
      <c r="N7">
        <v>24.2453</v>
      </c>
      <c r="O7">
        <v>19.2758</v>
      </c>
      <c r="P7" s="17">
        <f t="shared" si="2"/>
        <v>6.1969119257049865</v>
      </c>
      <c r="Q7" s="2">
        <f t="shared" si="3"/>
        <v>93.803088074295019</v>
      </c>
    </row>
    <row r="8" spans="1:17" x14ac:dyDescent="0.3">
      <c r="A8" s="55"/>
      <c r="C8" s="55" t="s">
        <v>107</v>
      </c>
      <c r="D8" s="55">
        <v>15.0451</v>
      </c>
      <c r="E8" s="55">
        <v>19.004300000000001</v>
      </c>
      <c r="F8" s="55">
        <v>15.220499999999999</v>
      </c>
      <c r="G8" s="17">
        <f t="shared" si="0"/>
        <v>4.4301879167508522</v>
      </c>
      <c r="H8" s="2">
        <f t="shared" si="1"/>
        <v>95.569812083249147</v>
      </c>
      <c r="K8" t="s">
        <v>67</v>
      </c>
      <c r="L8">
        <v>16</v>
      </c>
      <c r="M8">
        <v>17.058800000000002</v>
      </c>
      <c r="N8">
        <v>19.934899999999999</v>
      </c>
      <c r="O8">
        <v>17.179400000000001</v>
      </c>
      <c r="P8" s="17">
        <f t="shared" si="2"/>
        <v>4.1931782622300933</v>
      </c>
      <c r="Q8" s="2">
        <f t="shared" si="3"/>
        <v>95.806821737769909</v>
      </c>
    </row>
    <row r="9" spans="1:17" x14ac:dyDescent="0.3">
      <c r="A9" s="55"/>
      <c r="B9" s="58">
        <v>4</v>
      </c>
      <c r="C9" s="55" t="s">
        <v>108</v>
      </c>
      <c r="D9" s="55">
        <v>18.9558</v>
      </c>
      <c r="E9" s="55">
        <v>24.194600000000001</v>
      </c>
      <c r="F9" s="55">
        <v>19.185199999999998</v>
      </c>
      <c r="G9" s="17">
        <f t="shared" si="0"/>
        <v>4.3788653890203522</v>
      </c>
      <c r="H9" s="2">
        <f t="shared" si="1"/>
        <v>95.621134610979652</v>
      </c>
      <c r="K9" t="s">
        <v>197</v>
      </c>
      <c r="L9">
        <v>310</v>
      </c>
      <c r="M9">
        <v>12.719799999999999</v>
      </c>
      <c r="N9">
        <v>16.8993</v>
      </c>
      <c r="O9">
        <v>12.903</v>
      </c>
      <c r="P9" s="17">
        <f t="shared" si="2"/>
        <v>4.3832994377318126</v>
      </c>
      <c r="Q9" s="2">
        <f t="shared" si="3"/>
        <v>95.616700562268193</v>
      </c>
    </row>
    <row r="10" spans="1:17" x14ac:dyDescent="0.3">
      <c r="A10" s="55"/>
      <c r="C10" s="55" t="s">
        <v>109</v>
      </c>
      <c r="D10" s="55">
        <v>15.0116</v>
      </c>
      <c r="E10" s="55">
        <v>18.409400000000002</v>
      </c>
      <c r="F10" s="55">
        <v>15.1896</v>
      </c>
      <c r="G10" s="17">
        <f t="shared" si="0"/>
        <v>5.2386838542586593</v>
      </c>
      <c r="H10" s="2">
        <f t="shared" si="1"/>
        <v>94.761316145741347</v>
      </c>
      <c r="K10" t="s">
        <v>198</v>
      </c>
      <c r="L10">
        <v>11</v>
      </c>
      <c r="M10">
        <v>14.8001</v>
      </c>
      <c r="N10">
        <v>22.286999999999999</v>
      </c>
      <c r="O10">
        <v>15.137</v>
      </c>
      <c r="P10" s="17">
        <f t="shared" si="2"/>
        <v>4.499859755038802</v>
      </c>
      <c r="Q10" s="2">
        <f t="shared" si="3"/>
        <v>95.500140244961202</v>
      </c>
    </row>
    <row r="11" spans="1:17" x14ac:dyDescent="0.3">
      <c r="A11" s="55"/>
      <c r="C11" s="66" t="s">
        <v>110</v>
      </c>
      <c r="D11" s="66">
        <v>19.383199999999999</v>
      </c>
      <c r="E11" s="66">
        <v>25.131900000000002</v>
      </c>
      <c r="F11" s="66">
        <v>19.698599999999999</v>
      </c>
      <c r="G11" s="67">
        <f t="shared" si="0"/>
        <v>5.4864578078522133</v>
      </c>
      <c r="H11" s="68">
        <f t="shared" si="1"/>
        <v>94.513542192147781</v>
      </c>
      <c r="K11" t="s">
        <v>199</v>
      </c>
      <c r="L11">
        <v>24</v>
      </c>
      <c r="M11">
        <v>14.8911</v>
      </c>
      <c r="N11">
        <v>20.764600000000002</v>
      </c>
      <c r="O11">
        <v>15.210599999999999</v>
      </c>
      <c r="P11" s="17">
        <f t="shared" si="2"/>
        <v>5.439686728526425</v>
      </c>
      <c r="Q11" s="2">
        <f t="shared" si="3"/>
        <v>94.560313271473575</v>
      </c>
    </row>
    <row r="12" spans="1:17" x14ac:dyDescent="0.3">
      <c r="A12" s="55"/>
      <c r="B12" s="58">
        <v>5</v>
      </c>
      <c r="C12" s="55" t="s">
        <v>111</v>
      </c>
      <c r="D12" s="55">
        <v>15.095599999999999</v>
      </c>
      <c r="E12" s="55">
        <v>18.6097</v>
      </c>
      <c r="F12" s="55">
        <v>15.2704</v>
      </c>
      <c r="G12" s="17">
        <f t="shared" si="0"/>
        <v>4.9742466065280198</v>
      </c>
      <c r="H12" s="2">
        <f t="shared" si="1"/>
        <v>95.025753393471973</v>
      </c>
      <c r="K12" t="s">
        <v>200</v>
      </c>
      <c r="L12">
        <v>43</v>
      </c>
      <c r="M12">
        <v>16.005600000000001</v>
      </c>
      <c r="N12">
        <v>18.9754</v>
      </c>
      <c r="O12">
        <v>16.116299999999999</v>
      </c>
      <c r="P12" s="17">
        <f t="shared" si="2"/>
        <v>3.727523738972248</v>
      </c>
      <c r="Q12" s="2">
        <f t="shared" si="3"/>
        <v>96.272476261027748</v>
      </c>
    </row>
    <row r="13" spans="1:17" x14ac:dyDescent="0.3">
      <c r="A13" s="55"/>
      <c r="C13" s="66" t="s">
        <v>112</v>
      </c>
      <c r="D13" s="66">
        <v>14.767099999999999</v>
      </c>
      <c r="E13" s="66">
        <v>28.3855</v>
      </c>
      <c r="F13" s="66">
        <v>15.6145</v>
      </c>
      <c r="G13" s="67">
        <f t="shared" si="0"/>
        <v>6.2224637255477901</v>
      </c>
      <c r="H13" s="68">
        <f t="shared" si="1"/>
        <v>93.777536274452217</v>
      </c>
      <c r="K13" t="s">
        <v>201</v>
      </c>
      <c r="L13">
        <v>25</v>
      </c>
      <c r="M13">
        <v>15.326599999999999</v>
      </c>
      <c r="N13">
        <v>18.449300000000001</v>
      </c>
      <c r="O13">
        <v>15.4171</v>
      </c>
      <c r="P13" s="17">
        <f t="shared" si="2"/>
        <v>2.898133025907081</v>
      </c>
      <c r="Q13" s="2">
        <f t="shared" si="3"/>
        <v>97.101866974092914</v>
      </c>
    </row>
    <row r="14" spans="1:17" x14ac:dyDescent="0.3">
      <c r="A14" s="55"/>
      <c r="C14" s="55" t="s">
        <v>113</v>
      </c>
      <c r="D14" s="55">
        <v>15.315200000000001</v>
      </c>
      <c r="E14" s="55">
        <v>19.086400000000001</v>
      </c>
      <c r="F14" s="55">
        <v>15.505100000000001</v>
      </c>
      <c r="G14" s="17">
        <f t="shared" si="0"/>
        <v>5.0355324565125086</v>
      </c>
      <c r="H14" s="2">
        <f t="shared" si="1"/>
        <v>94.964467543487487</v>
      </c>
      <c r="K14" t="s">
        <v>202</v>
      </c>
      <c r="L14">
        <v>20</v>
      </c>
      <c r="M14">
        <v>14.8931</v>
      </c>
      <c r="N14">
        <v>16.999099999999999</v>
      </c>
      <c r="O14">
        <v>14.988799999999999</v>
      </c>
      <c r="P14" s="17">
        <f t="shared" si="2"/>
        <v>4.5441595441595011</v>
      </c>
      <c r="Q14" s="2">
        <f t="shared" si="3"/>
        <v>95.455840455840502</v>
      </c>
    </row>
    <row r="15" spans="1:17" x14ac:dyDescent="0.3">
      <c r="A15" s="55" t="s">
        <v>66</v>
      </c>
      <c r="B15" s="57">
        <v>1</v>
      </c>
      <c r="C15" s="55" t="s">
        <v>118</v>
      </c>
      <c r="D15" s="55">
        <v>15.980399999999999</v>
      </c>
      <c r="E15" s="55">
        <v>19.359200000000001</v>
      </c>
      <c r="F15" s="55">
        <v>16.129000000000001</v>
      </c>
      <c r="G15" s="17">
        <f t="shared" si="0"/>
        <v>4.3980111282112517</v>
      </c>
      <c r="H15" s="2">
        <f t="shared" si="1"/>
        <v>95.601988871788748</v>
      </c>
      <c r="K15" t="s">
        <v>203</v>
      </c>
      <c r="L15">
        <v>29</v>
      </c>
      <c r="M15">
        <v>19.385000000000002</v>
      </c>
      <c r="N15">
        <v>29.729500000000002</v>
      </c>
      <c r="O15">
        <v>19.773199999999999</v>
      </c>
      <c r="P15" s="17">
        <f t="shared" si="2"/>
        <v>3.7527188360964536</v>
      </c>
      <c r="Q15" s="2">
        <f t="shared" si="3"/>
        <v>96.247281163903551</v>
      </c>
    </row>
    <row r="16" spans="1:17" x14ac:dyDescent="0.3">
      <c r="A16" s="55"/>
      <c r="B16" s="57"/>
      <c r="C16" s="55" t="s">
        <v>119</v>
      </c>
      <c r="D16" s="55">
        <v>12.5662</v>
      </c>
      <c r="E16" s="55">
        <v>16.9376</v>
      </c>
      <c r="F16" s="55">
        <v>12.7765</v>
      </c>
      <c r="G16" s="17">
        <f t="shared" si="0"/>
        <v>4.8108157569657362</v>
      </c>
      <c r="H16" s="2">
        <f t="shared" si="1"/>
        <v>95.189184243034262</v>
      </c>
      <c r="K16" t="s">
        <v>204</v>
      </c>
      <c r="L16">
        <v>4</v>
      </c>
      <c r="M16">
        <v>15.1335</v>
      </c>
      <c r="N16">
        <v>19.294499999999999</v>
      </c>
      <c r="O16">
        <v>15.289</v>
      </c>
      <c r="P16" s="17">
        <f t="shared" si="2"/>
        <v>3.7370824321076661</v>
      </c>
      <c r="Q16" s="2">
        <f t="shared" si="3"/>
        <v>96.26291756789233</v>
      </c>
    </row>
    <row r="17" spans="1:17" x14ac:dyDescent="0.3">
      <c r="A17" s="55"/>
      <c r="B17" s="56">
        <v>2</v>
      </c>
      <c r="C17" s="55" t="s">
        <v>120</v>
      </c>
      <c r="D17" s="55">
        <v>18.964600000000001</v>
      </c>
      <c r="E17" s="55">
        <v>22.38</v>
      </c>
      <c r="F17" s="55">
        <v>19.116399999999999</v>
      </c>
      <c r="G17" s="17">
        <f t="shared" si="0"/>
        <v>4.4445745739883478</v>
      </c>
      <c r="H17" s="2">
        <f t="shared" si="1"/>
        <v>95.555425426011652</v>
      </c>
      <c r="K17" t="s">
        <v>58</v>
      </c>
      <c r="L17">
        <v>10</v>
      </c>
      <c r="M17">
        <v>15.1013</v>
      </c>
      <c r="N17">
        <v>16.518999999999998</v>
      </c>
      <c r="O17">
        <v>15.162100000000001</v>
      </c>
      <c r="P17" s="17">
        <f t="shared" si="2"/>
        <v>4.2886365239472726</v>
      </c>
      <c r="Q17" s="2">
        <f t="shared" si="3"/>
        <v>95.711363476052725</v>
      </c>
    </row>
    <row r="18" spans="1:17" x14ac:dyDescent="0.3">
      <c r="A18" s="55"/>
      <c r="B18" s="56"/>
      <c r="C18" s="66" t="s">
        <v>121</v>
      </c>
      <c r="D18" s="66">
        <v>17.046199999999999</v>
      </c>
      <c r="E18" s="66">
        <v>26.619599999999998</v>
      </c>
      <c r="F18" s="66">
        <v>17.558399999999999</v>
      </c>
      <c r="G18" s="67">
        <f t="shared" si="0"/>
        <v>5.3502412935843067</v>
      </c>
      <c r="H18" s="68">
        <f t="shared" si="1"/>
        <v>94.649758706415696</v>
      </c>
      <c r="K18" t="s">
        <v>66</v>
      </c>
      <c r="L18">
        <v>14</v>
      </c>
      <c r="M18">
        <v>26.263000000000002</v>
      </c>
      <c r="N18">
        <v>28.3233</v>
      </c>
      <c r="O18">
        <v>26.383299999999998</v>
      </c>
      <c r="P18" s="17">
        <f t="shared" si="2"/>
        <v>5.8389554919185001</v>
      </c>
      <c r="Q18" s="2">
        <f t="shared" si="3"/>
        <v>94.161044508081503</v>
      </c>
    </row>
    <row r="19" spans="1:17" x14ac:dyDescent="0.3">
      <c r="A19" s="55"/>
      <c r="B19" s="56"/>
      <c r="C19" s="55" t="s">
        <v>122</v>
      </c>
      <c r="D19" s="55">
        <v>14.8956</v>
      </c>
      <c r="E19" s="55">
        <v>18.916499999999999</v>
      </c>
      <c r="F19" s="55">
        <v>15.088699999999999</v>
      </c>
      <c r="G19" s="17">
        <f t="shared" si="0"/>
        <v>4.8024074212240899</v>
      </c>
      <c r="H19" s="2">
        <f t="shared" si="1"/>
        <v>95.197592578775911</v>
      </c>
      <c r="K19" t="s">
        <v>205</v>
      </c>
      <c r="L19">
        <v>580</v>
      </c>
      <c r="M19">
        <v>19.2911</v>
      </c>
      <c r="N19">
        <v>25.943100000000001</v>
      </c>
      <c r="O19">
        <v>19.547899999999998</v>
      </c>
      <c r="P19" s="17">
        <f t="shared" si="2"/>
        <v>3.8604930847865053</v>
      </c>
      <c r="Q19" s="2">
        <f t="shared" si="3"/>
        <v>96.139506915213488</v>
      </c>
    </row>
    <row r="20" spans="1:17" x14ac:dyDescent="0.3">
      <c r="A20" s="55"/>
      <c r="B20" s="56"/>
      <c r="C20" s="66" t="s">
        <v>123</v>
      </c>
      <c r="D20" s="66">
        <v>15.2575</v>
      </c>
      <c r="E20" s="66">
        <v>21.061900000000001</v>
      </c>
      <c r="F20" s="66">
        <v>15.523999999999999</v>
      </c>
      <c r="G20" s="67">
        <f t="shared" si="0"/>
        <v>4.5913444972779063</v>
      </c>
      <c r="H20" s="68">
        <f t="shared" si="1"/>
        <v>95.408655502722098</v>
      </c>
      <c r="K20" t="s">
        <v>206</v>
      </c>
      <c r="L20">
        <v>27</v>
      </c>
      <c r="M20">
        <v>14.3733</v>
      </c>
      <c r="N20">
        <v>22.060500000000001</v>
      </c>
      <c r="O20">
        <v>14.7279</v>
      </c>
      <c r="P20" s="17">
        <f t="shared" si="2"/>
        <v>4.6128629409928132</v>
      </c>
      <c r="Q20" s="2">
        <f t="shared" si="3"/>
        <v>95.387137059007188</v>
      </c>
    </row>
    <row r="21" spans="1:17" x14ac:dyDescent="0.3">
      <c r="A21" s="55"/>
      <c r="B21" s="58">
        <v>3</v>
      </c>
      <c r="C21" s="55" t="s">
        <v>124</v>
      </c>
      <c r="D21" s="55">
        <v>26.238</v>
      </c>
      <c r="E21" s="55">
        <v>29.5472</v>
      </c>
      <c r="F21" s="55">
        <v>26.5076</v>
      </c>
      <c r="G21" s="17">
        <f t="shared" si="0"/>
        <v>8.1469841653571997</v>
      </c>
      <c r="H21" s="2">
        <f t="shared" si="1"/>
        <v>91.853015834642804</v>
      </c>
      <c r="K21" t="s">
        <v>207</v>
      </c>
      <c r="L21">
        <v>21</v>
      </c>
      <c r="M21">
        <v>15.130699999999999</v>
      </c>
      <c r="N21">
        <v>20.808900000000001</v>
      </c>
      <c r="O21">
        <v>15.4031</v>
      </c>
      <c r="P21" s="17">
        <f t="shared" si="2"/>
        <v>4.7972949174034198</v>
      </c>
      <c r="Q21" s="2">
        <f t="shared" si="3"/>
        <v>95.20270508259658</v>
      </c>
    </row>
    <row r="22" spans="1:17" x14ac:dyDescent="0.3">
      <c r="A22" s="55"/>
      <c r="C22" s="55" t="s">
        <v>125</v>
      </c>
      <c r="D22" s="55">
        <v>16.119399999999999</v>
      </c>
      <c r="E22" s="55">
        <v>20.9175</v>
      </c>
      <c r="F22" s="55">
        <v>16.507899999999999</v>
      </c>
      <c r="G22" s="17">
        <f t="shared" si="0"/>
        <v>8.0969550447052043</v>
      </c>
      <c r="H22" s="2">
        <f t="shared" si="1"/>
        <v>91.903044955294803</v>
      </c>
      <c r="K22" t="s">
        <v>208</v>
      </c>
      <c r="L22">
        <v>235</v>
      </c>
      <c r="M22">
        <v>19.4773</v>
      </c>
      <c r="N22">
        <v>25.6433</v>
      </c>
      <c r="O22">
        <v>19.736499999999999</v>
      </c>
      <c r="P22" s="17">
        <f t="shared" si="2"/>
        <v>4.2036976970483275</v>
      </c>
      <c r="Q22" s="2">
        <f t="shared" si="3"/>
        <v>95.796302302951673</v>
      </c>
    </row>
    <row r="23" spans="1:17" x14ac:dyDescent="0.3">
      <c r="A23" s="55"/>
      <c r="B23" s="58">
        <v>4</v>
      </c>
      <c r="C23" s="55" t="s">
        <v>126</v>
      </c>
      <c r="D23" s="55">
        <v>19.384699999999999</v>
      </c>
      <c r="E23" s="55">
        <v>24.4788</v>
      </c>
      <c r="F23" s="55">
        <v>19.797000000000001</v>
      </c>
      <c r="G23" s="17">
        <f t="shared" si="0"/>
        <v>8.0936769988810937</v>
      </c>
      <c r="H23" s="2">
        <f t="shared" si="1"/>
        <v>91.906323001118906</v>
      </c>
      <c r="K23" t="s">
        <v>209</v>
      </c>
      <c r="L23">
        <v>13</v>
      </c>
      <c r="M23">
        <v>17.4773</v>
      </c>
      <c r="N23">
        <v>23.332000000000001</v>
      </c>
      <c r="O23">
        <v>17.700500000000002</v>
      </c>
      <c r="P23" s="17">
        <f t="shared" si="2"/>
        <v>3.8123217244265635</v>
      </c>
      <c r="Q23" s="2">
        <f t="shared" si="3"/>
        <v>96.187678275573433</v>
      </c>
    </row>
    <row r="24" spans="1:17" x14ac:dyDescent="0.3">
      <c r="A24" s="55"/>
      <c r="C24" s="55" t="s">
        <v>127</v>
      </c>
      <c r="D24" s="55">
        <v>17.488499999999998</v>
      </c>
      <c r="E24" s="55">
        <v>20.632000000000001</v>
      </c>
      <c r="F24" s="55">
        <v>17.731999999999999</v>
      </c>
      <c r="G24" s="17">
        <f t="shared" si="0"/>
        <v>7.7461428344202545</v>
      </c>
      <c r="H24" s="2">
        <f t="shared" si="1"/>
        <v>92.253857165579745</v>
      </c>
      <c r="K24" t="s">
        <v>210</v>
      </c>
      <c r="L24">
        <v>9</v>
      </c>
      <c r="M24">
        <v>19.327400000000001</v>
      </c>
      <c r="N24">
        <v>28.682200000000002</v>
      </c>
      <c r="O24">
        <v>19.693999999999999</v>
      </c>
      <c r="P24" s="17">
        <f t="shared" si="2"/>
        <v>3.9188438021122658</v>
      </c>
      <c r="Q24" s="2">
        <f t="shared" si="3"/>
        <v>96.081156197887736</v>
      </c>
    </row>
    <row r="25" spans="1:17" x14ac:dyDescent="0.3">
      <c r="A25" s="55"/>
      <c r="B25" s="58">
        <v>5</v>
      </c>
      <c r="C25" s="55" t="s">
        <v>128</v>
      </c>
      <c r="D25" s="55">
        <v>14.417</v>
      </c>
      <c r="E25" s="55">
        <v>17.620799999999999</v>
      </c>
      <c r="F25" s="55">
        <v>14.669</v>
      </c>
      <c r="G25" s="17">
        <f t="shared" si="0"/>
        <v>7.8656595293089682</v>
      </c>
      <c r="H25" s="2">
        <f t="shared" si="1"/>
        <v>92.134340470691029</v>
      </c>
      <c r="K25" s="82" t="s">
        <v>211</v>
      </c>
      <c r="L25">
        <v>17</v>
      </c>
      <c r="M25">
        <v>17.280200000000001</v>
      </c>
      <c r="N25">
        <v>24.442</v>
      </c>
      <c r="O25">
        <v>17.595800000000001</v>
      </c>
      <c r="P25" s="17">
        <f t="shared" si="2"/>
        <v>4.4067133960736111</v>
      </c>
      <c r="Q25" s="2">
        <f t="shared" si="3"/>
        <v>95.593286603926387</v>
      </c>
    </row>
    <row r="26" spans="1:17" x14ac:dyDescent="0.3">
      <c r="A26" s="55"/>
      <c r="C26" s="55" t="s">
        <v>129</v>
      </c>
      <c r="D26" s="55">
        <v>27.820399999999999</v>
      </c>
      <c r="E26" s="55">
        <v>33.105499999999999</v>
      </c>
      <c r="F26" s="55">
        <v>28.206900000000001</v>
      </c>
      <c r="G26" s="17">
        <f t="shared" si="0"/>
        <v>7.3130120527521072</v>
      </c>
      <c r="H26" s="2">
        <f t="shared" si="1"/>
        <v>92.6869879472479</v>
      </c>
      <c r="K26" t="s">
        <v>212</v>
      </c>
      <c r="L26">
        <v>12</v>
      </c>
      <c r="M26">
        <v>20.5185</v>
      </c>
      <c r="N26">
        <v>26.430099999999999</v>
      </c>
      <c r="O26">
        <v>20.7652</v>
      </c>
      <c r="P26" s="17">
        <f t="shared" si="2"/>
        <v>4.1731510927667737</v>
      </c>
      <c r="Q26" s="2">
        <f t="shared" si="3"/>
        <v>95.826848907233227</v>
      </c>
    </row>
    <row r="27" spans="1:17" x14ac:dyDescent="0.3">
      <c r="A27" s="55" t="s">
        <v>58</v>
      </c>
      <c r="B27" s="57">
        <v>1</v>
      </c>
      <c r="C27" s="55" t="s">
        <v>132</v>
      </c>
      <c r="D27" s="55">
        <v>12.5669</v>
      </c>
      <c r="E27" s="55">
        <v>16.594999999999999</v>
      </c>
      <c r="F27" s="55">
        <v>12.873699999999999</v>
      </c>
      <c r="G27" s="17">
        <f t="shared" si="0"/>
        <v>7.6164941287455425</v>
      </c>
      <c r="H27" s="2">
        <f t="shared" si="1"/>
        <v>92.383505871254457</v>
      </c>
    </row>
    <row r="28" spans="1:17" x14ac:dyDescent="0.3">
      <c r="A28" s="55"/>
      <c r="B28" s="56">
        <v>2</v>
      </c>
      <c r="C28" s="55">
        <v>17</v>
      </c>
      <c r="D28" s="55">
        <v>18.9514</v>
      </c>
      <c r="E28" s="55">
        <v>22.8231</v>
      </c>
      <c r="F28" s="55">
        <v>19.2074</v>
      </c>
      <c r="G28" s="17">
        <f t="shared" si="0"/>
        <v>6.6120825477180611</v>
      </c>
      <c r="H28" s="2">
        <f t="shared" si="1"/>
        <v>93.38791745228194</v>
      </c>
    </row>
    <row r="29" spans="1:17" x14ac:dyDescent="0.3">
      <c r="A29" s="55"/>
      <c r="B29" s="58">
        <v>3</v>
      </c>
      <c r="C29" s="55">
        <v>24</v>
      </c>
      <c r="D29" s="55">
        <v>14.892300000000001</v>
      </c>
      <c r="E29" s="55">
        <v>17.825099999999999</v>
      </c>
      <c r="F29" s="55">
        <v>15.1549</v>
      </c>
      <c r="G29" s="17">
        <f t="shared" si="0"/>
        <v>8.9539007092198304</v>
      </c>
      <c r="H29" s="2">
        <f t="shared" si="1"/>
        <v>91.046099290780177</v>
      </c>
    </row>
    <row r="30" spans="1:17" x14ac:dyDescent="0.3">
      <c r="A30" s="55"/>
      <c r="B30" s="58">
        <v>4</v>
      </c>
      <c r="C30" s="55">
        <v>25</v>
      </c>
      <c r="D30" s="55">
        <v>15.319699999999999</v>
      </c>
      <c r="E30" s="55">
        <v>17.771999999999998</v>
      </c>
      <c r="F30" s="55">
        <v>15.523899999999999</v>
      </c>
      <c r="G30" s="17">
        <f t="shared" si="0"/>
        <v>8.3268768095257606</v>
      </c>
      <c r="H30" s="2">
        <f t="shared" si="1"/>
        <v>91.673123190474243</v>
      </c>
    </row>
    <row r="31" spans="1:17" x14ac:dyDescent="0.3">
      <c r="A31" s="55"/>
      <c r="B31" s="58">
        <v>5</v>
      </c>
      <c r="C31" s="55">
        <v>120</v>
      </c>
      <c r="D31" s="55">
        <v>15.260199999999999</v>
      </c>
      <c r="E31" s="55">
        <v>18.4513</v>
      </c>
      <c r="F31" s="55">
        <v>15.516299999999999</v>
      </c>
      <c r="G31" s="17">
        <f t="shared" si="0"/>
        <v>8.0254457710507339</v>
      </c>
      <c r="H31" s="2">
        <f t="shared" si="1"/>
        <v>91.974554228949273</v>
      </c>
    </row>
    <row r="32" spans="1:17" x14ac:dyDescent="0.3">
      <c r="A32" s="55" t="s">
        <v>63</v>
      </c>
      <c r="B32" s="57">
        <v>1</v>
      </c>
      <c r="C32" s="55">
        <v>4</v>
      </c>
      <c r="D32" s="55">
        <v>15.1326</v>
      </c>
      <c r="E32" s="55">
        <v>18.056000000000001</v>
      </c>
      <c r="F32" s="55">
        <v>15.340400000000001</v>
      </c>
      <c r="G32" s="17">
        <f t="shared" si="0"/>
        <v>7.1081617294930766</v>
      </c>
      <c r="H32" s="2">
        <f t="shared" si="1"/>
        <v>92.891838270506923</v>
      </c>
    </row>
    <row r="33" spans="1:8" x14ac:dyDescent="0.3">
      <c r="A33" s="55"/>
      <c r="B33" s="56">
        <v>2</v>
      </c>
      <c r="C33" s="55">
        <v>7</v>
      </c>
      <c r="D33" s="55">
        <v>19.066199999999998</v>
      </c>
      <c r="E33" s="55">
        <v>21.728200000000001</v>
      </c>
      <c r="F33" s="55">
        <v>19.274100000000001</v>
      </c>
      <c r="G33" s="17">
        <f t="shared" si="0"/>
        <v>7.8099173553719758</v>
      </c>
      <c r="H33" s="2">
        <f t="shared" si="1"/>
        <v>92.190082644628021</v>
      </c>
    </row>
    <row r="34" spans="1:8" x14ac:dyDescent="0.3">
      <c r="A34" s="55"/>
      <c r="B34" s="58">
        <v>3</v>
      </c>
      <c r="C34" s="55">
        <v>12</v>
      </c>
      <c r="D34" s="55">
        <v>20.302399999999999</v>
      </c>
      <c r="E34" s="55">
        <v>23.9481</v>
      </c>
      <c r="F34" s="55">
        <v>20.628900000000002</v>
      </c>
      <c r="G34" s="17">
        <f t="shared" si="0"/>
        <v>8.9557560962230234</v>
      </c>
      <c r="H34" s="2">
        <f t="shared" si="1"/>
        <v>91.044243903776973</v>
      </c>
    </row>
    <row r="35" spans="1:8" x14ac:dyDescent="0.3">
      <c r="A35" s="55"/>
      <c r="B35" s="58">
        <v>4</v>
      </c>
      <c r="C35" s="55">
        <v>29</v>
      </c>
      <c r="D35" s="55">
        <v>19.385899999999999</v>
      </c>
      <c r="E35" s="55">
        <v>22.661899999999999</v>
      </c>
      <c r="F35" s="55">
        <v>19.690899999999999</v>
      </c>
      <c r="G35" s="17">
        <f t="shared" si="0"/>
        <v>9.3101343101343019</v>
      </c>
      <c r="H35" s="2">
        <f t="shared" si="1"/>
        <v>90.689865689865698</v>
      </c>
    </row>
    <row r="36" spans="1:8" x14ac:dyDescent="0.3">
      <c r="A36" s="55"/>
      <c r="B36" s="58">
        <v>5</v>
      </c>
      <c r="C36" s="55">
        <v>60</v>
      </c>
      <c r="D36" s="55">
        <v>15.373200000000001</v>
      </c>
      <c r="E36" s="55">
        <v>19.2166</v>
      </c>
      <c r="F36" s="55">
        <v>15.7402</v>
      </c>
      <c r="G36" s="17">
        <f t="shared" si="0"/>
        <v>9.548836967268544</v>
      </c>
      <c r="H36" s="2">
        <f t="shared" si="1"/>
        <v>90.451163032731458</v>
      </c>
    </row>
    <row r="37" spans="1:8" x14ac:dyDescent="0.3">
      <c r="A37" s="55" t="s">
        <v>64</v>
      </c>
      <c r="B37" s="57">
        <v>1</v>
      </c>
      <c r="C37" s="55">
        <v>6</v>
      </c>
      <c r="D37" s="55">
        <v>15.2477</v>
      </c>
      <c r="E37" s="55">
        <v>19.818000000000001</v>
      </c>
      <c r="F37" s="55">
        <v>15.4633</v>
      </c>
      <c r="G37" s="17">
        <f t="shared" si="0"/>
        <v>4.7174146117322753</v>
      </c>
      <c r="H37" s="2">
        <f t="shared" si="1"/>
        <v>95.282585388267719</v>
      </c>
    </row>
    <row r="38" spans="1:8" x14ac:dyDescent="0.3">
      <c r="A38" s="55"/>
      <c r="B38" s="56">
        <v>2</v>
      </c>
      <c r="C38" s="55">
        <v>20</v>
      </c>
      <c r="D38" s="55">
        <v>17.186299999999999</v>
      </c>
      <c r="E38" s="55">
        <v>23.522600000000001</v>
      </c>
      <c r="F38" s="55">
        <v>17.5351</v>
      </c>
      <c r="G38" s="17">
        <f t="shared" si="0"/>
        <v>5.504789861591159</v>
      </c>
      <c r="H38" s="2">
        <f t="shared" si="1"/>
        <v>94.495210138408837</v>
      </c>
    </row>
    <row r="39" spans="1:8" x14ac:dyDescent="0.3">
      <c r="A39" s="55"/>
      <c r="B39" s="58">
        <v>3</v>
      </c>
      <c r="C39" s="55">
        <v>201</v>
      </c>
      <c r="D39" s="55">
        <v>14.865500000000001</v>
      </c>
      <c r="E39" s="55">
        <v>21.5611</v>
      </c>
      <c r="F39" s="55">
        <v>15.3451</v>
      </c>
      <c r="G39" s="17">
        <f t="shared" si="0"/>
        <v>7.1629129577633019</v>
      </c>
      <c r="H39" s="2">
        <f t="shared" si="1"/>
        <v>92.837087042236703</v>
      </c>
    </row>
    <row r="40" spans="1:8" x14ac:dyDescent="0.3">
      <c r="A40" s="55"/>
      <c r="B40" s="58">
        <v>4</v>
      </c>
      <c r="C40" s="55">
        <v>235</v>
      </c>
      <c r="D40" s="55">
        <v>19.6233</v>
      </c>
      <c r="E40" s="55">
        <v>25.468699999999998</v>
      </c>
      <c r="F40" s="55">
        <v>20.046500000000002</v>
      </c>
      <c r="G40" s="17">
        <f t="shared" si="0"/>
        <v>7.2398809320149438</v>
      </c>
      <c r="H40" s="2">
        <f t="shared" si="1"/>
        <v>92.760119067985059</v>
      </c>
    </row>
    <row r="41" spans="1:8" x14ac:dyDescent="0.3">
      <c r="A41" s="55"/>
      <c r="B41" s="58">
        <v>5</v>
      </c>
      <c r="C41" s="55">
        <v>580</v>
      </c>
      <c r="D41" s="55">
        <v>19.296600000000002</v>
      </c>
      <c r="E41" s="55">
        <v>23.0505</v>
      </c>
      <c r="F41" s="55">
        <v>19.6601</v>
      </c>
      <c r="G41" s="17">
        <f t="shared" si="0"/>
        <v>9.6832627400836078</v>
      </c>
      <c r="H41" s="2">
        <f t="shared" si="1"/>
        <v>90.316737259916394</v>
      </c>
    </row>
    <row r="42" spans="1:8" x14ac:dyDescent="0.3">
      <c r="A42" s="55" t="s">
        <v>67</v>
      </c>
      <c r="B42" s="57">
        <v>1</v>
      </c>
      <c r="C42" s="55">
        <v>19</v>
      </c>
      <c r="D42" s="55">
        <v>16.761900000000001</v>
      </c>
      <c r="E42" s="55">
        <v>21.277699999999999</v>
      </c>
      <c r="F42" s="55">
        <v>16.945499999999999</v>
      </c>
      <c r="G42" s="17">
        <f t="shared" si="0"/>
        <v>4.0657247885202725</v>
      </c>
      <c r="H42" s="2">
        <f t="shared" si="1"/>
        <v>95.934275211479729</v>
      </c>
    </row>
    <row r="43" spans="1:8" x14ac:dyDescent="0.3">
      <c r="A43" s="55"/>
      <c r="B43" s="56">
        <v>2</v>
      </c>
      <c r="C43" s="55">
        <v>27</v>
      </c>
      <c r="D43" s="55">
        <v>14.371600000000001</v>
      </c>
      <c r="E43" s="55">
        <v>18.115100000000002</v>
      </c>
      <c r="F43" s="55">
        <v>14.5276</v>
      </c>
      <c r="G43" s="17">
        <f t="shared" si="0"/>
        <v>4.1672231868571865</v>
      </c>
      <c r="H43" s="2">
        <f t="shared" si="1"/>
        <v>95.832776813142814</v>
      </c>
    </row>
    <row r="44" spans="1:8" x14ac:dyDescent="0.3">
      <c r="A44" s="55"/>
      <c r="B44" s="58">
        <v>3</v>
      </c>
      <c r="C44" s="55">
        <v>56</v>
      </c>
      <c r="D44" s="55">
        <v>27.7788</v>
      </c>
      <c r="E44" s="55">
        <v>31.2501</v>
      </c>
      <c r="F44" s="55">
        <v>27.9864</v>
      </c>
      <c r="G44" s="17">
        <f t="shared" si="0"/>
        <v>5.9804684124103185</v>
      </c>
      <c r="H44" s="2">
        <f t="shared" si="1"/>
        <v>94.019531587589682</v>
      </c>
    </row>
    <row r="45" spans="1:8" x14ac:dyDescent="0.3">
      <c r="A45" s="55"/>
      <c r="B45" s="58">
        <v>4</v>
      </c>
      <c r="C45" s="55">
        <v>400</v>
      </c>
      <c r="D45" s="55">
        <v>16.6082</v>
      </c>
      <c r="E45" s="55">
        <v>22.4436</v>
      </c>
      <c r="F45" s="55">
        <v>16.952200000000001</v>
      </c>
      <c r="G45" s="17">
        <f t="shared" si="0"/>
        <v>5.8950543236110837</v>
      </c>
      <c r="H45" s="2">
        <f t="shared" si="1"/>
        <v>94.104945676388922</v>
      </c>
    </row>
    <row r="46" spans="1:8" x14ac:dyDescent="0.3">
      <c r="A46" s="55"/>
      <c r="B46" s="58">
        <v>5</v>
      </c>
      <c r="C46" s="55">
        <v>563</v>
      </c>
      <c r="D46" s="55">
        <v>19.252199999999998</v>
      </c>
      <c r="E46" s="55">
        <v>23.3323</v>
      </c>
      <c r="F46" s="55">
        <v>19.5503</v>
      </c>
      <c r="G46" s="17">
        <f t="shared" si="0"/>
        <v>7.3061934756501428</v>
      </c>
      <c r="H46" s="2">
        <f t="shared" si="1"/>
        <v>92.693806524349853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B491-668B-4C8A-BA78-FA6901EDD0F8}">
  <dimension ref="A1:AG32"/>
  <sheetViews>
    <sheetView topLeftCell="I1" zoomScale="90" zoomScaleNormal="90" workbookViewId="0">
      <selection activeCell="AE21" sqref="AE21"/>
    </sheetView>
  </sheetViews>
  <sheetFormatPr defaultRowHeight="14.4" x14ac:dyDescent="0.3"/>
  <cols>
    <col min="1" max="14" width="8.88671875" style="9"/>
    <col min="15" max="15" width="10.44140625" style="9" bestFit="1" customWidth="1"/>
    <col min="16" max="16384" width="8.88671875" style="9"/>
  </cols>
  <sheetData>
    <row r="1" spans="1:33" x14ac:dyDescent="0.3">
      <c r="A1" s="9" t="s">
        <v>75</v>
      </c>
      <c r="B1" s="9" t="s">
        <v>56</v>
      </c>
      <c r="C1" s="9" t="s">
        <v>114</v>
      </c>
      <c r="D1" s="9" t="s">
        <v>97</v>
      </c>
      <c r="E1" s="9" t="s">
        <v>115</v>
      </c>
      <c r="F1" s="9" t="s">
        <v>99</v>
      </c>
      <c r="G1" s="9" t="s">
        <v>100</v>
      </c>
      <c r="H1" s="9" t="s">
        <v>149</v>
      </c>
      <c r="I1" s="9" t="s">
        <v>148</v>
      </c>
      <c r="J1" t="s">
        <v>145</v>
      </c>
      <c r="K1" t="s">
        <v>150</v>
      </c>
      <c r="L1" t="s">
        <v>151</v>
      </c>
      <c r="M1" s="4" t="s">
        <v>146</v>
      </c>
      <c r="N1" s="4" t="s">
        <v>147</v>
      </c>
      <c r="P1" s="9" t="s">
        <v>219</v>
      </c>
      <c r="Q1" s="9" t="s">
        <v>114</v>
      </c>
      <c r="R1" s="9" t="s">
        <v>220</v>
      </c>
      <c r="S1" s="9" t="s">
        <v>217</v>
      </c>
      <c r="T1" s="9" t="s">
        <v>218</v>
      </c>
      <c r="U1" s="9" t="s">
        <v>221</v>
      </c>
      <c r="V1" s="9" t="s">
        <v>149</v>
      </c>
      <c r="W1" s="9" t="s">
        <v>148</v>
      </c>
      <c r="X1" t="s">
        <v>145</v>
      </c>
      <c r="Y1" t="s">
        <v>150</v>
      </c>
      <c r="Z1" t="s">
        <v>151</v>
      </c>
      <c r="AA1" s="4" t="s">
        <v>146</v>
      </c>
      <c r="AB1" s="4" t="s">
        <v>147</v>
      </c>
    </row>
    <row r="2" spans="1:33" x14ac:dyDescent="0.3">
      <c r="A2" t="s">
        <v>65</v>
      </c>
      <c r="B2" s="7">
        <v>1</v>
      </c>
      <c r="C2" s="9">
        <v>3.9165999999999999</v>
      </c>
      <c r="D2" s="9">
        <v>3</v>
      </c>
      <c r="E2" s="9">
        <v>18.966699999999999</v>
      </c>
      <c r="F2" s="9">
        <v>23.711600000000001</v>
      </c>
      <c r="G2" s="9">
        <v>19.097200000000001</v>
      </c>
      <c r="H2" s="9">
        <f>F2-E2</f>
        <v>4.7449000000000012</v>
      </c>
      <c r="I2" s="9">
        <f>G2-E2</f>
        <v>0.13050000000000139</v>
      </c>
      <c r="J2" s="2">
        <f>(G2-E2)*100/(F2-E2)</f>
        <v>2.7503213977112555</v>
      </c>
      <c r="K2">
        <f>H2-I2</f>
        <v>4.6143999999999998</v>
      </c>
      <c r="L2">
        <f>C2-I2</f>
        <v>3.7860999999999985</v>
      </c>
      <c r="M2" s="17">
        <f>(K2-L2)*100/K2</f>
        <v>17.950329403606133</v>
      </c>
      <c r="N2" s="17">
        <f>(C2-I2)*100/(H2-I2)</f>
        <v>82.049670596393867</v>
      </c>
      <c r="P2" s="9" t="s">
        <v>193</v>
      </c>
      <c r="Q2" s="9">
        <v>5.54</v>
      </c>
      <c r="R2" s="9">
        <v>10</v>
      </c>
      <c r="S2" s="70">
        <v>15.1113</v>
      </c>
      <c r="T2" s="9">
        <v>21.519300000000001</v>
      </c>
      <c r="U2" s="9">
        <v>15.3009</v>
      </c>
      <c r="V2" s="9">
        <f>T2-S2</f>
        <v>6.4080000000000013</v>
      </c>
      <c r="W2" s="9">
        <f>U2-S2</f>
        <v>0.18960000000000043</v>
      </c>
      <c r="X2" s="2">
        <f>(U2-S2)*100/(T2-S2)</f>
        <v>2.9588014981273472</v>
      </c>
      <c r="Y2">
        <f>V2-W2</f>
        <v>6.2184000000000008</v>
      </c>
      <c r="Z2">
        <f>Q2-W2</f>
        <v>5.3503999999999996</v>
      </c>
      <c r="AA2" s="17">
        <f>(Y2-Z2)*100/Y2</f>
        <v>13.958574552939682</v>
      </c>
      <c r="AB2" s="17">
        <f>(Q2-W2)*100/(V2-W2)</f>
        <v>86.04142544706032</v>
      </c>
    </row>
    <row r="3" spans="1:33" x14ac:dyDescent="0.3">
      <c r="A3"/>
      <c r="B3" s="9">
        <v>2</v>
      </c>
      <c r="C3" s="59">
        <v>3.7776000000000001</v>
      </c>
      <c r="D3" s="59">
        <v>9</v>
      </c>
      <c r="E3" s="59">
        <v>19.149899999999999</v>
      </c>
      <c r="F3" s="59">
        <v>24.613600000000002</v>
      </c>
      <c r="G3" s="59">
        <v>19.331700000000001</v>
      </c>
      <c r="H3" s="9">
        <f t="shared" ref="H3:H32" si="0">F3-E3</f>
        <v>5.4637000000000029</v>
      </c>
      <c r="I3" s="9">
        <f t="shared" ref="I3:I32" si="1">G3-E3</f>
        <v>0.18180000000000263</v>
      </c>
      <c r="J3" s="2">
        <f t="shared" ref="J3:J32" si="2">(G3-E3)*100/(F3-E3)</f>
        <v>3.3274154876732349</v>
      </c>
      <c r="K3">
        <f t="shared" ref="K3:K32" si="3">H3-I3</f>
        <v>5.2819000000000003</v>
      </c>
      <c r="L3">
        <f t="shared" ref="L3:L32" si="4">C3-I3</f>
        <v>3.5957999999999974</v>
      </c>
      <c r="M3" s="17">
        <f t="shared" ref="M3:M32" si="5">(K3-L3)*100/K3</f>
        <v>31.922224956928428</v>
      </c>
      <c r="N3" s="17">
        <f t="shared" ref="N3:N32" si="6">(C3-I3)*100/(H3-I3)</f>
        <v>68.077775043071568</v>
      </c>
      <c r="P3" s="9" t="s">
        <v>64</v>
      </c>
      <c r="Q3" s="9">
        <v>4.84</v>
      </c>
      <c r="R3" s="9">
        <v>8</v>
      </c>
      <c r="S3" s="9">
        <v>25.340800000000002</v>
      </c>
      <c r="T3" s="9">
        <v>31.154399999999999</v>
      </c>
      <c r="U3" s="9">
        <v>25.543500000000002</v>
      </c>
      <c r="V3" s="9">
        <f t="shared" ref="V3:V26" si="7">T3-S3</f>
        <v>5.8135999999999974</v>
      </c>
      <c r="W3" s="9">
        <f t="shared" ref="W3:W26" si="8">U3-S3</f>
        <v>0.2027000000000001</v>
      </c>
      <c r="X3" s="2">
        <f t="shared" ref="X3:X26" si="9">(U3-S3)*100/(T3-S3)</f>
        <v>3.4866519884409004</v>
      </c>
      <c r="Y3">
        <f t="shared" ref="Y3:Y26" si="10">V3-W3</f>
        <v>5.6108999999999973</v>
      </c>
      <c r="Z3">
        <f t="shared" ref="Z3:Z26" si="11">Q3-W3</f>
        <v>4.6372999999999998</v>
      </c>
      <c r="AA3" s="17">
        <f t="shared" ref="AA3:AA26" si="12">(Y3-Z3)*100/Y3</f>
        <v>17.351939973979185</v>
      </c>
      <c r="AB3" s="17">
        <f t="shared" ref="AB3:AB26" si="13">(Q3-W3)*100/(V3-W3)</f>
        <v>82.648060026020815</v>
      </c>
    </row>
    <row r="4" spans="1:33" x14ac:dyDescent="0.3">
      <c r="A4"/>
      <c r="B4">
        <v>3</v>
      </c>
      <c r="C4" s="9">
        <v>3.7128000000000001</v>
      </c>
      <c r="D4" s="9">
        <v>54</v>
      </c>
      <c r="E4" s="9">
        <v>27.820399999999999</v>
      </c>
      <c r="F4" s="9">
        <v>30.4452</v>
      </c>
      <c r="G4" s="9">
        <v>27.915299999999998</v>
      </c>
      <c r="H4" s="9">
        <f>F4-E4</f>
        <v>2.6248000000000005</v>
      </c>
      <c r="I4" s="9">
        <f>G4-E4</f>
        <v>9.4899999999999096E-2</v>
      </c>
      <c r="J4" s="2">
        <f t="shared" si="2"/>
        <v>3.6155135629380935</v>
      </c>
      <c r="K4">
        <f>H4-I4</f>
        <v>2.5299000000000014</v>
      </c>
      <c r="L4">
        <f t="shared" si="4"/>
        <v>3.617900000000001</v>
      </c>
      <c r="M4" s="17">
        <f>(K4-L4)*100/K4</f>
        <v>-43.005652397327921</v>
      </c>
      <c r="N4" s="17">
        <f t="shared" si="6"/>
        <v>143.00565239732791</v>
      </c>
      <c r="O4" s="12"/>
      <c r="P4" s="12" t="s">
        <v>63</v>
      </c>
      <c r="Q4" s="9">
        <v>7.16</v>
      </c>
      <c r="R4" s="9">
        <v>39</v>
      </c>
      <c r="S4" s="9">
        <v>27.979900000000001</v>
      </c>
      <c r="T4" s="9">
        <v>36.448</v>
      </c>
      <c r="U4" s="9">
        <v>28.4573</v>
      </c>
      <c r="V4" s="9">
        <f t="shared" si="7"/>
        <v>8.4680999999999997</v>
      </c>
      <c r="W4" s="9">
        <f t="shared" si="8"/>
        <v>0.47739999999999938</v>
      </c>
      <c r="X4" s="2">
        <f t="shared" si="9"/>
        <v>5.6376282755281517</v>
      </c>
      <c r="Y4">
        <f t="shared" si="10"/>
        <v>7.9907000000000004</v>
      </c>
      <c r="Z4">
        <f t="shared" si="11"/>
        <v>6.6826000000000008</v>
      </c>
      <c r="AA4" s="17">
        <f t="shared" si="12"/>
        <v>16.370280451024307</v>
      </c>
      <c r="AB4" s="17">
        <f t="shared" si="13"/>
        <v>83.6297195489757</v>
      </c>
      <c r="AC4" s="12"/>
      <c r="AD4" s="14"/>
      <c r="AF4" s="12"/>
      <c r="AG4" s="12"/>
    </row>
    <row r="5" spans="1:33" x14ac:dyDescent="0.3">
      <c r="A5"/>
      <c r="B5">
        <v>4</v>
      </c>
      <c r="C5" s="9">
        <v>3.5318999999999998</v>
      </c>
      <c r="D5" s="9">
        <v>137</v>
      </c>
      <c r="E5" s="9">
        <v>14.425800000000001</v>
      </c>
      <c r="F5" s="9">
        <v>18.313099999999999</v>
      </c>
      <c r="G5" s="9">
        <v>14.5725</v>
      </c>
      <c r="H5" s="9">
        <f t="shared" si="0"/>
        <v>3.887299999999998</v>
      </c>
      <c r="I5" s="9">
        <f t="shared" si="1"/>
        <v>0.14669999999999916</v>
      </c>
      <c r="J5" s="2">
        <f t="shared" si="2"/>
        <v>3.7738275924163105</v>
      </c>
      <c r="K5">
        <f t="shared" si="3"/>
        <v>3.7405999999999988</v>
      </c>
      <c r="L5">
        <f t="shared" si="4"/>
        <v>3.3852000000000007</v>
      </c>
      <c r="M5" s="17">
        <f t="shared" si="5"/>
        <v>9.5011495482007771</v>
      </c>
      <c r="N5" s="17">
        <f t="shared" si="6"/>
        <v>90.498850451799214</v>
      </c>
      <c r="O5" s="12"/>
      <c r="P5" s="12" t="s">
        <v>194</v>
      </c>
      <c r="Q5" s="9">
        <v>6.26</v>
      </c>
      <c r="R5" s="9">
        <v>3</v>
      </c>
      <c r="S5" s="9">
        <v>19.0016</v>
      </c>
      <c r="T5" s="9">
        <v>26.087700000000002</v>
      </c>
      <c r="U5" s="9">
        <v>19.298200000000001</v>
      </c>
      <c r="V5" s="9">
        <f t="shared" si="7"/>
        <v>7.0861000000000018</v>
      </c>
      <c r="W5" s="9">
        <f t="shared" si="8"/>
        <v>0.29660000000000153</v>
      </c>
      <c r="X5" s="2">
        <f t="shared" si="9"/>
        <v>4.1856592483877089</v>
      </c>
      <c r="Y5">
        <f t="shared" si="10"/>
        <v>6.7895000000000003</v>
      </c>
      <c r="Z5">
        <f t="shared" si="11"/>
        <v>5.9633999999999983</v>
      </c>
      <c r="AA5" s="17">
        <f t="shared" si="12"/>
        <v>12.16731718094119</v>
      </c>
      <c r="AB5" s="17">
        <f t="shared" si="13"/>
        <v>87.832682819058803</v>
      </c>
      <c r="AC5" s="12"/>
      <c r="AD5" s="14"/>
      <c r="AF5" s="12"/>
      <c r="AG5" s="12"/>
    </row>
    <row r="6" spans="1:33" x14ac:dyDescent="0.3">
      <c r="A6"/>
      <c r="B6">
        <v>5</v>
      </c>
      <c r="C6" s="9">
        <v>3.8856999999999999</v>
      </c>
      <c r="D6" s="9">
        <v>643</v>
      </c>
      <c r="E6" s="9">
        <v>15.053000000000001</v>
      </c>
      <c r="F6" s="9">
        <v>19.3475</v>
      </c>
      <c r="G6" s="9">
        <v>15.222</v>
      </c>
      <c r="H6" s="9">
        <f t="shared" si="0"/>
        <v>4.2944999999999993</v>
      </c>
      <c r="I6" s="9">
        <f t="shared" si="1"/>
        <v>0.16899999999999871</v>
      </c>
      <c r="J6" s="2">
        <f t="shared" si="2"/>
        <v>3.9352660379554951</v>
      </c>
      <c r="K6">
        <f t="shared" si="3"/>
        <v>4.1255000000000006</v>
      </c>
      <c r="L6">
        <f t="shared" si="4"/>
        <v>3.7167000000000012</v>
      </c>
      <c r="M6" s="17">
        <f t="shared" si="5"/>
        <v>9.9091019270391296</v>
      </c>
      <c r="N6" s="17">
        <f t="shared" si="6"/>
        <v>90.090898072960869</v>
      </c>
      <c r="O6" s="12"/>
      <c r="P6" s="12" t="s">
        <v>195</v>
      </c>
      <c r="Q6" s="9">
        <v>7.93</v>
      </c>
      <c r="R6" s="9">
        <v>17</v>
      </c>
      <c r="S6" s="9">
        <v>17.269200000000001</v>
      </c>
      <c r="T6" s="9">
        <v>26.167200000000001</v>
      </c>
      <c r="U6" s="9">
        <v>17.6387</v>
      </c>
      <c r="V6" s="9">
        <f t="shared" si="7"/>
        <v>8.8979999999999997</v>
      </c>
      <c r="W6" s="9">
        <f t="shared" si="8"/>
        <v>0.36949999999999861</v>
      </c>
      <c r="X6" s="2">
        <f t="shared" si="9"/>
        <v>4.1526185659698651</v>
      </c>
      <c r="Y6">
        <f t="shared" si="10"/>
        <v>8.5285000000000011</v>
      </c>
      <c r="Z6">
        <f t="shared" si="11"/>
        <v>7.5605000000000011</v>
      </c>
      <c r="AA6" s="17">
        <f t="shared" si="12"/>
        <v>11.350178812217855</v>
      </c>
      <c r="AB6" s="17">
        <f t="shared" si="13"/>
        <v>88.649821187782138</v>
      </c>
      <c r="AC6" s="12"/>
      <c r="AD6" s="14"/>
      <c r="AF6" s="12"/>
      <c r="AG6" s="12"/>
    </row>
    <row r="7" spans="1:33" x14ac:dyDescent="0.3">
      <c r="A7" t="s">
        <v>66</v>
      </c>
      <c r="B7" s="7">
        <v>1</v>
      </c>
      <c r="C7" s="9">
        <v>3.9756</v>
      </c>
      <c r="D7" s="9">
        <v>13</v>
      </c>
      <c r="E7" s="9">
        <v>17.477399999999999</v>
      </c>
      <c r="F7" s="9">
        <v>20.1434</v>
      </c>
      <c r="G7" s="9">
        <v>17.573899999999998</v>
      </c>
      <c r="H7" s="9">
        <f t="shared" si="0"/>
        <v>2.6660000000000004</v>
      </c>
      <c r="I7" s="9">
        <f t="shared" si="1"/>
        <v>9.649999999999892E-2</v>
      </c>
      <c r="J7" s="2">
        <f t="shared" si="2"/>
        <v>3.6196549137283909</v>
      </c>
      <c r="K7">
        <f t="shared" si="3"/>
        <v>2.5695000000000014</v>
      </c>
      <c r="L7">
        <f t="shared" si="4"/>
        <v>3.8791000000000011</v>
      </c>
      <c r="M7" s="17">
        <f t="shared" si="5"/>
        <v>-50.967114224557271</v>
      </c>
      <c r="N7" s="17">
        <f t="shared" si="6"/>
        <v>150.96711422455726</v>
      </c>
      <c r="O7" s="12"/>
      <c r="P7" s="12" t="s">
        <v>196</v>
      </c>
      <c r="Q7" s="9">
        <v>9.41</v>
      </c>
      <c r="R7" s="9">
        <v>1</v>
      </c>
      <c r="S7" s="9">
        <v>19.093399999999999</v>
      </c>
      <c r="T7" s="9">
        <v>29.4526</v>
      </c>
      <c r="U7" s="9">
        <v>19.632200000000001</v>
      </c>
      <c r="V7" s="9">
        <f t="shared" si="7"/>
        <v>10.359200000000001</v>
      </c>
      <c r="W7" s="9">
        <f t="shared" si="8"/>
        <v>0.53880000000000194</v>
      </c>
      <c r="X7" s="2">
        <f t="shared" si="9"/>
        <v>5.201173835817456</v>
      </c>
      <c r="Y7">
        <f t="shared" si="10"/>
        <v>9.8203999999999994</v>
      </c>
      <c r="Z7">
        <f t="shared" si="11"/>
        <v>8.8711999999999982</v>
      </c>
      <c r="AA7" s="17">
        <f t="shared" si="12"/>
        <v>9.6655940694880176</v>
      </c>
      <c r="AB7" s="17">
        <f t="shared" si="13"/>
        <v>90.334405930511977</v>
      </c>
      <c r="AC7" s="12"/>
      <c r="AD7" s="14"/>
      <c r="AF7" s="12"/>
      <c r="AG7" s="12"/>
    </row>
    <row r="8" spans="1:33" x14ac:dyDescent="0.3">
      <c r="A8"/>
      <c r="B8" s="9">
        <v>2</v>
      </c>
      <c r="C8" s="9">
        <v>4.3719000000000001</v>
      </c>
      <c r="D8" s="9">
        <v>18</v>
      </c>
      <c r="E8" s="9">
        <v>14.4474</v>
      </c>
      <c r="F8" s="9">
        <v>21.286200000000001</v>
      </c>
      <c r="G8" s="9">
        <v>14.693</v>
      </c>
      <c r="H8" s="9">
        <f t="shared" si="0"/>
        <v>6.8388000000000009</v>
      </c>
      <c r="I8" s="9">
        <f t="shared" si="1"/>
        <v>0.2455999999999996</v>
      </c>
      <c r="J8" s="2">
        <f t="shared" si="2"/>
        <v>3.5912733228051641</v>
      </c>
      <c r="K8">
        <f t="shared" si="3"/>
        <v>6.5932000000000013</v>
      </c>
      <c r="L8">
        <f t="shared" si="4"/>
        <v>4.1263000000000005</v>
      </c>
      <c r="M8" s="17">
        <f t="shared" si="5"/>
        <v>37.415822362434028</v>
      </c>
      <c r="N8" s="17">
        <f t="shared" si="6"/>
        <v>62.584177637565972</v>
      </c>
      <c r="O8" s="12"/>
      <c r="P8" s="12" t="s">
        <v>67</v>
      </c>
      <c r="Q8" s="9">
        <v>6.51</v>
      </c>
      <c r="R8" s="9">
        <v>137</v>
      </c>
      <c r="S8" s="9">
        <v>14.441000000000001</v>
      </c>
      <c r="T8" s="9">
        <v>21.7058</v>
      </c>
      <c r="U8" s="9">
        <v>14.7142</v>
      </c>
      <c r="V8" s="9">
        <f t="shared" si="7"/>
        <v>7.2647999999999993</v>
      </c>
      <c r="W8" s="9">
        <f t="shared" si="8"/>
        <v>0.27319999999999922</v>
      </c>
      <c r="X8" s="2">
        <f t="shared" si="9"/>
        <v>3.7605990529677245</v>
      </c>
      <c r="Y8">
        <f t="shared" si="10"/>
        <v>6.9916</v>
      </c>
      <c r="Z8">
        <f t="shared" si="11"/>
        <v>6.2368000000000006</v>
      </c>
      <c r="AA8" s="17">
        <f t="shared" si="12"/>
        <v>10.795812117398013</v>
      </c>
      <c r="AB8" s="17">
        <f t="shared" si="13"/>
        <v>89.204187882601985</v>
      </c>
      <c r="AC8" s="12"/>
      <c r="AD8" s="14"/>
      <c r="AF8" s="12"/>
      <c r="AG8" s="12"/>
    </row>
    <row r="9" spans="1:33" x14ac:dyDescent="0.3">
      <c r="A9"/>
      <c r="B9">
        <v>3</v>
      </c>
      <c r="C9" s="9">
        <v>3.6964999999999999</v>
      </c>
      <c r="D9" s="9">
        <v>43</v>
      </c>
      <c r="E9" s="9">
        <v>16.001999999999999</v>
      </c>
      <c r="F9" s="9">
        <v>19.776299999999999</v>
      </c>
      <c r="G9" s="9">
        <v>16.174900000000001</v>
      </c>
      <c r="H9" s="9">
        <f t="shared" si="0"/>
        <v>3.7743000000000002</v>
      </c>
      <c r="I9" s="9">
        <f t="shared" si="1"/>
        <v>0.17290000000000205</v>
      </c>
      <c r="J9" s="2">
        <f t="shared" si="2"/>
        <v>4.5809819039292599</v>
      </c>
      <c r="K9">
        <f t="shared" si="3"/>
        <v>3.6013999999999982</v>
      </c>
      <c r="L9">
        <f t="shared" si="4"/>
        <v>3.5235999999999978</v>
      </c>
      <c r="M9" s="17">
        <f t="shared" si="5"/>
        <v>2.1602710057200074</v>
      </c>
      <c r="N9" s="17">
        <f t="shared" si="6"/>
        <v>97.839728994279994</v>
      </c>
      <c r="O9" s="12"/>
      <c r="P9" s="12" t="s">
        <v>197</v>
      </c>
      <c r="Q9" s="9">
        <v>9.57</v>
      </c>
      <c r="R9" s="9">
        <v>235</v>
      </c>
      <c r="S9" s="9">
        <v>19.485900000000001</v>
      </c>
      <c r="T9" s="9">
        <v>29.4971</v>
      </c>
      <c r="U9" s="9">
        <v>19.880199999999999</v>
      </c>
      <c r="V9" s="9">
        <f t="shared" si="7"/>
        <v>10.011199999999999</v>
      </c>
      <c r="W9" s="9">
        <f t="shared" si="8"/>
        <v>0.39429999999999765</v>
      </c>
      <c r="X9" s="2">
        <f t="shared" si="9"/>
        <v>3.9385887805657434</v>
      </c>
      <c r="Y9">
        <f t="shared" si="10"/>
        <v>9.6169000000000011</v>
      </c>
      <c r="Z9">
        <f t="shared" si="11"/>
        <v>9.1757000000000026</v>
      </c>
      <c r="AA9" s="17">
        <f t="shared" si="12"/>
        <v>4.5877569695015898</v>
      </c>
      <c r="AB9" s="17">
        <f t="shared" si="13"/>
        <v>95.412243030498416</v>
      </c>
      <c r="AC9" s="12"/>
      <c r="AD9" s="14"/>
      <c r="AF9" s="12"/>
      <c r="AG9" s="12"/>
    </row>
    <row r="10" spans="1:33" x14ac:dyDescent="0.3">
      <c r="A10"/>
      <c r="B10">
        <v>4</v>
      </c>
      <c r="C10" s="9">
        <v>4.1795</v>
      </c>
      <c r="D10" s="9">
        <v>102</v>
      </c>
      <c r="E10" s="9">
        <v>16.113499999999998</v>
      </c>
      <c r="F10" s="9">
        <v>20.678100000000001</v>
      </c>
      <c r="G10" s="9">
        <v>16.3</v>
      </c>
      <c r="H10" s="9">
        <f t="shared" si="0"/>
        <v>4.5646000000000022</v>
      </c>
      <c r="I10" s="9">
        <f t="shared" si="1"/>
        <v>0.18650000000000233</v>
      </c>
      <c r="J10" s="2">
        <f t="shared" si="2"/>
        <v>4.0857906497831626</v>
      </c>
      <c r="K10">
        <f t="shared" si="3"/>
        <v>4.3780999999999999</v>
      </c>
      <c r="L10">
        <f t="shared" si="4"/>
        <v>3.9929999999999977</v>
      </c>
      <c r="M10" s="17">
        <f t="shared" si="5"/>
        <v>8.7960530823873864</v>
      </c>
      <c r="N10" s="17">
        <f t="shared" si="6"/>
        <v>91.203946917612612</v>
      </c>
      <c r="O10" s="12"/>
      <c r="P10" s="12" t="s">
        <v>198</v>
      </c>
      <c r="Q10" s="9">
        <v>13.5</v>
      </c>
      <c r="R10" s="9">
        <v>259</v>
      </c>
      <c r="S10" s="9">
        <v>16.610900000000001</v>
      </c>
      <c r="T10" s="9">
        <v>30.5046</v>
      </c>
      <c r="U10" s="9">
        <v>17.271799999999999</v>
      </c>
      <c r="V10" s="9">
        <f t="shared" si="7"/>
        <v>13.893699999999999</v>
      </c>
      <c r="W10" s="9">
        <f t="shared" si="8"/>
        <v>0.66089999999999804</v>
      </c>
      <c r="X10" s="2">
        <f t="shared" si="9"/>
        <v>4.7568322333143662</v>
      </c>
      <c r="Y10">
        <f t="shared" si="10"/>
        <v>13.232800000000001</v>
      </c>
      <c r="Z10">
        <f t="shared" si="11"/>
        <v>12.839100000000002</v>
      </c>
      <c r="AA10" s="17">
        <f t="shared" si="12"/>
        <v>2.975182878906951</v>
      </c>
      <c r="AB10" s="17">
        <f t="shared" si="13"/>
        <v>97.024817121093051</v>
      </c>
      <c r="AC10" s="12"/>
      <c r="AD10" s="14"/>
      <c r="AF10" s="12"/>
      <c r="AG10" s="12"/>
    </row>
    <row r="11" spans="1:33" x14ac:dyDescent="0.3">
      <c r="A11"/>
      <c r="B11">
        <v>5</v>
      </c>
      <c r="C11" s="9">
        <v>4.5582000000000003</v>
      </c>
      <c r="D11" s="9">
        <v>555</v>
      </c>
      <c r="E11" s="9">
        <v>15.008699999999999</v>
      </c>
      <c r="F11" s="9">
        <v>19.853100000000001</v>
      </c>
      <c r="G11" s="9">
        <v>15.2469</v>
      </c>
      <c r="H11" s="9">
        <f t="shared" si="0"/>
        <v>4.844400000000002</v>
      </c>
      <c r="I11" s="9">
        <f t="shared" si="1"/>
        <v>0.23820000000000086</v>
      </c>
      <c r="J11" s="2">
        <f t="shared" si="2"/>
        <v>4.9170175873173303</v>
      </c>
      <c r="K11">
        <f t="shared" si="3"/>
        <v>4.6062000000000012</v>
      </c>
      <c r="L11">
        <f t="shared" si="4"/>
        <v>4.3199999999999994</v>
      </c>
      <c r="M11" s="17">
        <f t="shared" si="5"/>
        <v>6.2133645955451717</v>
      </c>
      <c r="N11" s="17">
        <f t="shared" si="6"/>
        <v>93.786635404454827</v>
      </c>
      <c r="O11" s="12"/>
      <c r="P11" s="12" t="s">
        <v>199</v>
      </c>
      <c r="Q11" s="9">
        <v>10.68</v>
      </c>
      <c r="R11" s="9">
        <v>7</v>
      </c>
      <c r="S11" s="9">
        <v>19.0748</v>
      </c>
      <c r="T11" s="9">
        <v>30.986000000000001</v>
      </c>
      <c r="U11" s="9">
        <v>19.606300000000001</v>
      </c>
      <c r="V11" s="9">
        <f t="shared" si="7"/>
        <v>11.911200000000001</v>
      </c>
      <c r="W11" s="9">
        <f t="shared" si="8"/>
        <v>0.53150000000000119</v>
      </c>
      <c r="X11" s="2">
        <f t="shared" si="9"/>
        <v>4.4621868493518804</v>
      </c>
      <c r="Y11">
        <f t="shared" si="10"/>
        <v>11.3797</v>
      </c>
      <c r="Z11">
        <f t="shared" si="11"/>
        <v>10.148499999999999</v>
      </c>
      <c r="AA11" s="17">
        <f t="shared" si="12"/>
        <v>10.819265885743922</v>
      </c>
      <c r="AB11" s="17">
        <f t="shared" si="13"/>
        <v>89.180734114256083</v>
      </c>
      <c r="AC11" s="12"/>
      <c r="AD11" s="14"/>
      <c r="AF11" s="12"/>
      <c r="AG11" s="12"/>
    </row>
    <row r="12" spans="1:33" x14ac:dyDescent="0.3">
      <c r="A12"/>
      <c r="B12"/>
      <c r="D12" s="9" t="s">
        <v>139</v>
      </c>
      <c r="J12" s="2"/>
      <c r="K12"/>
      <c r="L12"/>
      <c r="M12" s="17"/>
      <c r="N12" s="17"/>
      <c r="O12" s="12"/>
      <c r="P12" s="12" t="s">
        <v>200</v>
      </c>
      <c r="Q12" s="9">
        <v>3.14</v>
      </c>
      <c r="R12" s="9">
        <v>223</v>
      </c>
      <c r="S12" s="9">
        <v>14.9985</v>
      </c>
      <c r="T12" s="9">
        <v>18.811900000000001</v>
      </c>
      <c r="U12" s="9">
        <v>15.129200000000001</v>
      </c>
      <c r="V12" s="9">
        <f t="shared" si="7"/>
        <v>3.8134000000000015</v>
      </c>
      <c r="W12" s="9">
        <f t="shared" si="8"/>
        <v>0.13070000000000093</v>
      </c>
      <c r="X12" s="2">
        <f t="shared" si="9"/>
        <v>3.4273876330833608</v>
      </c>
      <c r="Y12">
        <f t="shared" si="10"/>
        <v>3.6827000000000005</v>
      </c>
      <c r="Z12">
        <f t="shared" si="11"/>
        <v>3.0092999999999992</v>
      </c>
      <c r="AA12" s="17">
        <f t="shared" si="12"/>
        <v>18.285497053792088</v>
      </c>
      <c r="AB12" s="17">
        <f t="shared" si="13"/>
        <v>81.714502946207901</v>
      </c>
      <c r="AC12" s="12"/>
      <c r="AD12" s="14"/>
      <c r="AF12" s="12"/>
      <c r="AG12" s="12"/>
    </row>
    <row r="13" spans="1:33" x14ac:dyDescent="0.3">
      <c r="A13" s="1" t="s">
        <v>58</v>
      </c>
      <c r="B13" s="7">
        <v>1</v>
      </c>
      <c r="C13" s="9">
        <v>3.3656000000000001</v>
      </c>
      <c r="D13" s="9">
        <v>201</v>
      </c>
      <c r="E13" s="9">
        <v>14.876099999999999</v>
      </c>
      <c r="F13" s="9">
        <v>18.8108</v>
      </c>
      <c r="G13" s="9">
        <v>15.058999999999999</v>
      </c>
      <c r="H13" s="9">
        <f t="shared" si="0"/>
        <v>3.9347000000000012</v>
      </c>
      <c r="I13" s="9">
        <f t="shared" si="1"/>
        <v>0.18290000000000006</v>
      </c>
      <c r="J13" s="2">
        <f t="shared" si="2"/>
        <v>4.6483848832185428</v>
      </c>
      <c r="K13">
        <f t="shared" si="3"/>
        <v>3.7518000000000011</v>
      </c>
      <c r="L13">
        <f t="shared" si="4"/>
        <v>3.1827000000000001</v>
      </c>
      <c r="M13" s="17">
        <f t="shared" si="5"/>
        <v>15.168719014872885</v>
      </c>
      <c r="N13" s="17">
        <f t="shared" si="6"/>
        <v>84.831280985127108</v>
      </c>
      <c r="O13" s="12"/>
      <c r="P13" s="12" t="s">
        <v>201</v>
      </c>
      <c r="Q13" s="9">
        <v>5.91</v>
      </c>
      <c r="R13" s="9">
        <v>14</v>
      </c>
      <c r="S13" s="9">
        <v>26.250499999999999</v>
      </c>
      <c r="T13" s="9">
        <v>32.520699999999998</v>
      </c>
      <c r="U13" s="9">
        <v>26.528099999999998</v>
      </c>
      <c r="V13" s="9">
        <f t="shared" si="7"/>
        <v>6.2701999999999991</v>
      </c>
      <c r="W13" s="9">
        <f t="shared" si="8"/>
        <v>0.27759999999999962</v>
      </c>
      <c r="X13" s="2">
        <f t="shared" si="9"/>
        <v>4.4272909955025304</v>
      </c>
      <c r="Y13">
        <f t="shared" si="10"/>
        <v>5.9925999999999995</v>
      </c>
      <c r="Z13">
        <f t="shared" si="11"/>
        <v>5.6324000000000005</v>
      </c>
      <c r="AA13" s="17">
        <f t="shared" si="12"/>
        <v>6.0107465874578478</v>
      </c>
      <c r="AB13" s="17">
        <f t="shared" si="13"/>
        <v>93.989253412542141</v>
      </c>
      <c r="AC13" s="12"/>
      <c r="AD13" s="14"/>
      <c r="AF13" s="12"/>
      <c r="AG13" s="12"/>
    </row>
    <row r="14" spans="1:33" x14ac:dyDescent="0.3">
      <c r="A14" s="1"/>
      <c r="B14" s="9">
        <v>2</v>
      </c>
      <c r="C14" s="9">
        <v>4.17</v>
      </c>
      <c r="D14" s="9">
        <v>21</v>
      </c>
      <c r="E14" s="9">
        <v>15.132400000000001</v>
      </c>
      <c r="F14" s="9">
        <v>18.974599999999999</v>
      </c>
      <c r="G14" s="9">
        <v>15.3391</v>
      </c>
      <c r="H14" s="9">
        <f t="shared" si="0"/>
        <v>3.8421999999999983</v>
      </c>
      <c r="I14" s="9">
        <f t="shared" si="1"/>
        <v>0.20669999999999966</v>
      </c>
      <c r="J14" s="2">
        <f t="shared" si="2"/>
        <v>5.3797303628129649</v>
      </c>
      <c r="K14">
        <f t="shared" si="3"/>
        <v>3.6354999999999986</v>
      </c>
      <c r="L14">
        <f t="shared" si="4"/>
        <v>3.9633000000000003</v>
      </c>
      <c r="M14" s="17">
        <f t="shared" si="5"/>
        <v>-9.0166414523449809</v>
      </c>
      <c r="N14" s="17">
        <f t="shared" si="6"/>
        <v>109.01664145234498</v>
      </c>
      <c r="O14" s="12"/>
      <c r="P14" s="12" t="s">
        <v>202</v>
      </c>
      <c r="Q14" s="9">
        <v>5.63</v>
      </c>
      <c r="R14" s="9">
        <v>131</v>
      </c>
      <c r="S14" s="9">
        <v>15.4132</v>
      </c>
      <c r="T14" s="9">
        <v>21.686</v>
      </c>
      <c r="U14" s="9">
        <v>15.6617</v>
      </c>
      <c r="V14" s="9">
        <f t="shared" si="7"/>
        <v>6.2728000000000002</v>
      </c>
      <c r="W14" s="9">
        <f t="shared" si="8"/>
        <v>0.24849999999999994</v>
      </c>
      <c r="X14" s="2">
        <f t="shared" si="9"/>
        <v>3.9615482719040926</v>
      </c>
      <c r="Y14">
        <f t="shared" si="10"/>
        <v>6.0243000000000002</v>
      </c>
      <c r="Z14">
        <f t="shared" si="11"/>
        <v>5.3815</v>
      </c>
      <c r="AA14" s="17">
        <f t="shared" si="12"/>
        <v>10.670119349965976</v>
      </c>
      <c r="AB14" s="17">
        <f t="shared" si="13"/>
        <v>89.329880650034028</v>
      </c>
      <c r="AC14" s="12"/>
      <c r="AD14" s="14"/>
      <c r="AF14" s="12"/>
      <c r="AG14" s="12"/>
    </row>
    <row r="15" spans="1:33" x14ac:dyDescent="0.3">
      <c r="A15" s="1"/>
      <c r="B15">
        <v>3</v>
      </c>
      <c r="C15" s="9">
        <v>3.51</v>
      </c>
      <c r="D15" s="9">
        <v>13</v>
      </c>
      <c r="E15" s="9">
        <v>17.474799999999998</v>
      </c>
      <c r="F15" s="9">
        <v>20.773299999999999</v>
      </c>
      <c r="G15" s="9">
        <v>17.668299999999999</v>
      </c>
      <c r="H15" s="9">
        <f t="shared" si="0"/>
        <v>3.2985000000000007</v>
      </c>
      <c r="I15" s="9">
        <f t="shared" si="1"/>
        <v>0.19350000000000023</v>
      </c>
      <c r="J15" s="2">
        <f t="shared" si="2"/>
        <v>5.8663028649386142</v>
      </c>
      <c r="K15">
        <f t="shared" si="3"/>
        <v>3.1050000000000004</v>
      </c>
      <c r="L15">
        <f t="shared" si="4"/>
        <v>3.3164999999999996</v>
      </c>
      <c r="M15" s="17">
        <f t="shared" si="5"/>
        <v>-6.8115942028985215</v>
      </c>
      <c r="N15" s="17">
        <f t="shared" si="6"/>
        <v>106.81159420289853</v>
      </c>
      <c r="O15" s="12"/>
      <c r="P15" s="12" t="s">
        <v>203</v>
      </c>
      <c r="Q15" s="9">
        <v>6.45</v>
      </c>
      <c r="R15" s="9">
        <v>111</v>
      </c>
      <c r="S15" s="9">
        <v>19.387799999999999</v>
      </c>
      <c r="T15" s="9">
        <v>26.464500000000001</v>
      </c>
      <c r="U15" s="9">
        <v>19.561800000000002</v>
      </c>
      <c r="V15" s="9">
        <f t="shared" si="7"/>
        <v>7.0767000000000024</v>
      </c>
      <c r="W15" s="9">
        <f t="shared" si="8"/>
        <v>0.17400000000000304</v>
      </c>
      <c r="X15" s="2">
        <f t="shared" si="9"/>
        <v>2.4587731569799902</v>
      </c>
      <c r="Y15">
        <f t="shared" si="10"/>
        <v>6.9026999999999994</v>
      </c>
      <c r="Z15">
        <f t="shared" si="11"/>
        <v>6.2759999999999971</v>
      </c>
      <c r="AA15" s="17">
        <f t="shared" si="12"/>
        <v>9.0790560215568163</v>
      </c>
      <c r="AB15" s="17">
        <f t="shared" si="13"/>
        <v>90.920943978443177</v>
      </c>
      <c r="AC15" s="12"/>
      <c r="AD15" s="14"/>
      <c r="AF15" s="12"/>
      <c r="AG15" s="12"/>
    </row>
    <row r="16" spans="1:33" x14ac:dyDescent="0.3">
      <c r="A16"/>
      <c r="B16">
        <v>4</v>
      </c>
      <c r="C16" s="9">
        <v>3.43</v>
      </c>
      <c r="D16" s="9">
        <v>24</v>
      </c>
      <c r="E16" s="9">
        <v>14.8925</v>
      </c>
      <c r="F16" s="9">
        <v>18.226299999999998</v>
      </c>
      <c r="G16" s="9">
        <v>15.099600000000001</v>
      </c>
      <c r="H16" s="9">
        <f t="shared" si="0"/>
        <v>3.3337999999999983</v>
      </c>
      <c r="I16" s="9">
        <f t="shared" si="1"/>
        <v>0.20710000000000051</v>
      </c>
      <c r="J16" s="2">
        <f t="shared" si="2"/>
        <v>6.2121303017577718</v>
      </c>
      <c r="K16">
        <f t="shared" si="3"/>
        <v>3.1266999999999978</v>
      </c>
      <c r="L16">
        <f t="shared" si="4"/>
        <v>3.2228999999999997</v>
      </c>
      <c r="M16" s="17">
        <f t="shared" si="5"/>
        <v>-3.0767262609141239</v>
      </c>
      <c r="N16" s="17">
        <f t="shared" si="6"/>
        <v>103.07672626091413</v>
      </c>
      <c r="O16" s="12"/>
      <c r="P16" s="12" t="s">
        <v>204</v>
      </c>
      <c r="Q16" s="9">
        <v>8.68</v>
      </c>
      <c r="R16" s="9">
        <v>201</v>
      </c>
      <c r="S16" s="9">
        <v>14.879099999999999</v>
      </c>
      <c r="T16" s="9">
        <v>24.177399999999999</v>
      </c>
      <c r="U16" s="9">
        <v>15.272399999999999</v>
      </c>
      <c r="V16" s="9">
        <f t="shared" si="7"/>
        <v>9.2982999999999993</v>
      </c>
      <c r="W16" s="9">
        <f t="shared" si="8"/>
        <v>0.39329999999999998</v>
      </c>
      <c r="X16" s="2">
        <f t="shared" si="9"/>
        <v>4.2298054483077552</v>
      </c>
      <c r="Y16">
        <f t="shared" si="10"/>
        <v>8.9049999999999994</v>
      </c>
      <c r="Z16">
        <f t="shared" si="11"/>
        <v>8.2866999999999997</v>
      </c>
      <c r="AA16" s="17">
        <f t="shared" si="12"/>
        <v>6.9432902863559764</v>
      </c>
      <c r="AB16" s="17">
        <f t="shared" si="13"/>
        <v>93.056709713644025</v>
      </c>
      <c r="AC16" s="12"/>
      <c r="AD16" s="14"/>
      <c r="AF16" s="12"/>
      <c r="AG16" s="12"/>
    </row>
    <row r="17" spans="1:33" x14ac:dyDescent="0.3">
      <c r="A17"/>
      <c r="B17">
        <v>5</v>
      </c>
      <c r="C17" s="9">
        <v>4.0199999999999996</v>
      </c>
      <c r="D17" s="9">
        <v>27</v>
      </c>
      <c r="E17" s="9">
        <v>14.395899999999999</v>
      </c>
      <c r="F17" s="9">
        <v>18.510200000000001</v>
      </c>
      <c r="G17" s="9">
        <v>14.649100000000001</v>
      </c>
      <c r="H17" s="9">
        <f t="shared" si="0"/>
        <v>4.1143000000000018</v>
      </c>
      <c r="I17" s="9">
        <f t="shared" si="1"/>
        <v>0.25320000000000142</v>
      </c>
      <c r="J17" s="2">
        <f t="shared" si="2"/>
        <v>6.154145298106636</v>
      </c>
      <c r="K17">
        <f t="shared" si="3"/>
        <v>3.8611000000000004</v>
      </c>
      <c r="L17">
        <f t="shared" si="4"/>
        <v>3.7667999999999981</v>
      </c>
      <c r="M17" s="17">
        <f t="shared" si="5"/>
        <v>2.4423091865013147</v>
      </c>
      <c r="N17" s="17">
        <f t="shared" si="6"/>
        <v>97.557690813498695</v>
      </c>
      <c r="O17" s="12"/>
      <c r="P17" s="12" t="s">
        <v>58</v>
      </c>
      <c r="Q17" s="9">
        <v>6.66</v>
      </c>
      <c r="R17" s="9">
        <v>29</v>
      </c>
      <c r="S17" s="9">
        <v>19.400300000000001</v>
      </c>
      <c r="T17" s="9">
        <v>26.7774</v>
      </c>
      <c r="U17" s="9">
        <v>19.803899999999999</v>
      </c>
      <c r="V17" s="9">
        <f t="shared" si="7"/>
        <v>7.3770999999999987</v>
      </c>
      <c r="W17" s="9">
        <f t="shared" si="8"/>
        <v>0.40359999999999729</v>
      </c>
      <c r="X17" s="2">
        <f t="shared" si="9"/>
        <v>5.4709845332176243</v>
      </c>
      <c r="Y17">
        <f t="shared" si="10"/>
        <v>6.9735000000000014</v>
      </c>
      <c r="Z17">
        <f t="shared" si="11"/>
        <v>6.2564000000000028</v>
      </c>
      <c r="AA17" s="17">
        <f t="shared" si="12"/>
        <v>10.283215028321479</v>
      </c>
      <c r="AB17" s="17">
        <f t="shared" si="13"/>
        <v>89.716784971678521</v>
      </c>
      <c r="AC17" s="12"/>
      <c r="AD17" s="14"/>
      <c r="AF17" s="12"/>
      <c r="AG17" s="12"/>
    </row>
    <row r="18" spans="1:33" x14ac:dyDescent="0.3">
      <c r="A18" t="s">
        <v>63</v>
      </c>
      <c r="B18" s="7">
        <v>1</v>
      </c>
      <c r="C18" s="9">
        <v>2.29</v>
      </c>
      <c r="D18" s="9">
        <v>4</v>
      </c>
      <c r="E18" s="9">
        <v>15.133699999999999</v>
      </c>
      <c r="F18" s="9">
        <v>17.537299999999998</v>
      </c>
      <c r="G18" s="9">
        <v>15.2582</v>
      </c>
      <c r="H18" s="9">
        <f t="shared" si="0"/>
        <v>2.4035999999999991</v>
      </c>
      <c r="I18" s="9">
        <f t="shared" si="1"/>
        <v>0.12450000000000117</v>
      </c>
      <c r="J18" s="2">
        <f t="shared" si="2"/>
        <v>5.1797304043934602</v>
      </c>
      <c r="K18">
        <f t="shared" si="3"/>
        <v>2.2790999999999979</v>
      </c>
      <c r="L18">
        <f t="shared" si="4"/>
        <v>2.1654999999999989</v>
      </c>
      <c r="M18" s="17">
        <f t="shared" si="5"/>
        <v>4.9844236760124234</v>
      </c>
      <c r="N18" s="17">
        <f t="shared" si="6"/>
        <v>95.015576323987588</v>
      </c>
      <c r="O18" s="12"/>
      <c r="P18" s="12" t="s">
        <v>66</v>
      </c>
      <c r="Q18" s="9">
        <v>5.73</v>
      </c>
      <c r="R18" s="9">
        <v>202</v>
      </c>
      <c r="S18" s="9">
        <v>14.9016</v>
      </c>
      <c r="T18" s="9">
        <v>20.919799999999999</v>
      </c>
      <c r="U18" s="9">
        <v>15.244899999999999</v>
      </c>
      <c r="V18" s="9">
        <f t="shared" si="7"/>
        <v>6.0181999999999984</v>
      </c>
      <c r="W18" s="9">
        <f t="shared" si="8"/>
        <v>0.34329999999999927</v>
      </c>
      <c r="X18" s="2">
        <f t="shared" si="9"/>
        <v>5.7043634309261799</v>
      </c>
      <c r="Y18">
        <f t="shared" si="10"/>
        <v>5.6748999999999992</v>
      </c>
      <c r="Z18">
        <f t="shared" si="11"/>
        <v>5.3867000000000012</v>
      </c>
      <c r="AA18" s="17">
        <f t="shared" si="12"/>
        <v>5.0785035859662386</v>
      </c>
      <c r="AB18" s="17">
        <f t="shared" si="13"/>
        <v>94.921496414033754</v>
      </c>
    </row>
    <row r="19" spans="1:33" x14ac:dyDescent="0.3">
      <c r="A19"/>
      <c r="B19" s="9">
        <v>2</v>
      </c>
      <c r="C19" s="9">
        <v>4.04</v>
      </c>
      <c r="D19" s="9">
        <v>235</v>
      </c>
      <c r="E19" s="9">
        <v>19.6355</v>
      </c>
      <c r="F19" s="9">
        <v>24.056000000000001</v>
      </c>
      <c r="G19" s="9">
        <v>19.8172</v>
      </c>
      <c r="H19" s="9">
        <f t="shared" si="0"/>
        <v>4.4205000000000005</v>
      </c>
      <c r="I19" s="9">
        <f t="shared" si="1"/>
        <v>0.18169999999999931</v>
      </c>
      <c r="J19" s="2">
        <f t="shared" si="2"/>
        <v>4.1103947517249022</v>
      </c>
      <c r="K19">
        <f t="shared" si="3"/>
        <v>4.2388000000000012</v>
      </c>
      <c r="L19">
        <f t="shared" si="4"/>
        <v>3.8583000000000007</v>
      </c>
      <c r="M19" s="17">
        <f t="shared" si="5"/>
        <v>8.9765971501368416</v>
      </c>
      <c r="N19" s="17">
        <f t="shared" si="6"/>
        <v>91.02340284986316</v>
      </c>
      <c r="O19" s="12"/>
      <c r="P19" s="12" t="s">
        <v>205</v>
      </c>
      <c r="Q19" s="9">
        <v>5.45</v>
      </c>
      <c r="R19" s="9">
        <v>31</v>
      </c>
      <c r="S19" s="9">
        <v>19.5381</v>
      </c>
      <c r="T19" s="9">
        <v>25.994700000000002</v>
      </c>
      <c r="U19" s="9">
        <v>19.754000000000001</v>
      </c>
      <c r="V19" s="9">
        <f t="shared" si="7"/>
        <v>6.4566000000000017</v>
      </c>
      <c r="W19" s="9">
        <f t="shared" si="8"/>
        <v>0.21590000000000131</v>
      </c>
      <c r="X19" s="2">
        <f>(U19-S19)*100/(T19-S19)</f>
        <v>3.3438651922064437</v>
      </c>
      <c r="Y19">
        <f t="shared" si="10"/>
        <v>6.2407000000000004</v>
      </c>
      <c r="Z19">
        <f t="shared" si="11"/>
        <v>5.2340999999999989</v>
      </c>
      <c r="AA19" s="17">
        <f t="shared" si="12"/>
        <v>16.12960084605896</v>
      </c>
      <c r="AB19" s="17">
        <f t="shared" si="13"/>
        <v>83.870399153941037</v>
      </c>
    </row>
    <row r="20" spans="1:33" x14ac:dyDescent="0.3">
      <c r="A20"/>
      <c r="B20">
        <v>3</v>
      </c>
      <c r="C20" s="9">
        <v>3.64</v>
      </c>
      <c r="D20" s="9">
        <v>12</v>
      </c>
      <c r="E20" s="9">
        <v>20.4922</v>
      </c>
      <c r="F20" s="9">
        <v>24.367100000000001</v>
      </c>
      <c r="G20" s="9">
        <v>20.761700000000001</v>
      </c>
      <c r="H20" s="9">
        <f t="shared" si="0"/>
        <v>3.8749000000000002</v>
      </c>
      <c r="I20" s="9">
        <f t="shared" si="1"/>
        <v>0.26950000000000074</v>
      </c>
      <c r="J20" s="2">
        <f t="shared" si="2"/>
        <v>6.9550181940179288</v>
      </c>
      <c r="K20">
        <f t="shared" si="3"/>
        <v>3.6053999999999995</v>
      </c>
      <c r="L20">
        <f t="shared" si="4"/>
        <v>3.3704999999999994</v>
      </c>
      <c r="M20" s="17">
        <f t="shared" si="5"/>
        <v>6.5152271592611122</v>
      </c>
      <c r="N20" s="17">
        <f t="shared" si="6"/>
        <v>93.484772840738898</v>
      </c>
      <c r="O20" s="12"/>
      <c r="P20" s="12" t="s">
        <v>206</v>
      </c>
      <c r="Q20" s="9">
        <v>7.62</v>
      </c>
      <c r="R20" s="9">
        <v>15</v>
      </c>
      <c r="S20" s="9">
        <v>14.973000000000001</v>
      </c>
      <c r="T20" s="9">
        <v>23.531300000000002</v>
      </c>
      <c r="U20" s="9">
        <v>15.313700000000001</v>
      </c>
      <c r="V20" s="9">
        <f t="shared" si="7"/>
        <v>8.5583000000000009</v>
      </c>
      <c r="W20" s="9">
        <f t="shared" si="8"/>
        <v>0.3407</v>
      </c>
      <c r="X20" s="2">
        <f t="shared" si="9"/>
        <v>3.9809307923302519</v>
      </c>
      <c r="Y20">
        <f t="shared" si="10"/>
        <v>8.2176000000000009</v>
      </c>
      <c r="Z20">
        <f t="shared" si="11"/>
        <v>7.2793000000000001</v>
      </c>
      <c r="AA20" s="17">
        <f t="shared" si="12"/>
        <v>11.418175623052969</v>
      </c>
      <c r="AB20" s="17">
        <f t="shared" si="13"/>
        <v>88.58182437694704</v>
      </c>
    </row>
    <row r="21" spans="1:33" x14ac:dyDescent="0.3">
      <c r="A21"/>
      <c r="B21">
        <v>4</v>
      </c>
      <c r="C21" s="9">
        <v>3.7</v>
      </c>
      <c r="D21" s="9">
        <v>10</v>
      </c>
      <c r="E21" s="9">
        <v>15.0961</v>
      </c>
      <c r="F21" s="9">
        <v>18.757999999999999</v>
      </c>
      <c r="G21" s="9">
        <v>15.374499999999999</v>
      </c>
      <c r="H21" s="9">
        <f t="shared" si="0"/>
        <v>3.6618999999999993</v>
      </c>
      <c r="I21" s="9">
        <f t="shared" si="1"/>
        <v>0.27839999999999954</v>
      </c>
      <c r="J21" s="2">
        <f t="shared" si="2"/>
        <v>7.6026106665938338</v>
      </c>
      <c r="K21">
        <f t="shared" si="3"/>
        <v>3.3834999999999997</v>
      </c>
      <c r="L21">
        <f t="shared" si="4"/>
        <v>3.4216000000000006</v>
      </c>
      <c r="M21" s="17">
        <f t="shared" si="5"/>
        <v>-1.1260529037978695</v>
      </c>
      <c r="N21" s="17">
        <f t="shared" si="6"/>
        <v>101.12605290379787</v>
      </c>
      <c r="O21" s="12"/>
      <c r="P21" s="12" t="s">
        <v>207</v>
      </c>
      <c r="Q21" s="9">
        <v>6.15</v>
      </c>
      <c r="R21" s="9">
        <v>55</v>
      </c>
      <c r="S21" s="9">
        <v>15.061299999999999</v>
      </c>
      <c r="T21" s="9">
        <v>21.865500000000001</v>
      </c>
      <c r="U21" s="9">
        <v>15.201499999999999</v>
      </c>
      <c r="V21" s="9">
        <f t="shared" si="7"/>
        <v>6.8042000000000016</v>
      </c>
      <c r="W21" s="9">
        <f t="shared" si="8"/>
        <v>0.1402000000000001</v>
      </c>
      <c r="X21" s="2">
        <f t="shared" si="9"/>
        <v>2.0604920490285421</v>
      </c>
      <c r="Y21">
        <f t="shared" si="10"/>
        <v>6.6640000000000015</v>
      </c>
      <c r="Z21">
        <f t="shared" si="11"/>
        <v>6.0098000000000003</v>
      </c>
      <c r="AA21" s="17">
        <f t="shared" si="12"/>
        <v>9.8169267707083012</v>
      </c>
      <c r="AB21" s="17">
        <f t="shared" si="13"/>
        <v>90.183073229291693</v>
      </c>
    </row>
    <row r="22" spans="1:33" x14ac:dyDescent="0.3">
      <c r="A22"/>
      <c r="B22">
        <v>5</v>
      </c>
      <c r="C22" s="9">
        <v>5.86</v>
      </c>
      <c r="D22" s="9">
        <v>563</v>
      </c>
      <c r="E22" s="9">
        <v>19.244700000000002</v>
      </c>
      <c r="F22" s="9">
        <v>25.722999999999999</v>
      </c>
      <c r="G22" s="9">
        <v>19.645600000000002</v>
      </c>
      <c r="H22" s="9">
        <f t="shared" si="0"/>
        <v>6.4782999999999973</v>
      </c>
      <c r="I22" s="9">
        <f t="shared" si="1"/>
        <v>0.40090000000000003</v>
      </c>
      <c r="J22" s="2">
        <f t="shared" si="2"/>
        <v>6.1883518824382975</v>
      </c>
      <c r="K22">
        <f t="shared" si="3"/>
        <v>6.0773999999999972</v>
      </c>
      <c r="L22">
        <f t="shared" si="4"/>
        <v>5.4591000000000003</v>
      </c>
      <c r="M22" s="17">
        <f t="shared" si="5"/>
        <v>10.173758515154463</v>
      </c>
      <c r="N22" s="17">
        <f t="shared" si="6"/>
        <v>89.826241484845553</v>
      </c>
      <c r="O22" s="12"/>
      <c r="P22" s="12" t="s">
        <v>208</v>
      </c>
      <c r="Q22" s="9">
        <v>6.11</v>
      </c>
      <c r="R22" s="9">
        <v>166</v>
      </c>
      <c r="S22" s="9">
        <v>15.1265</v>
      </c>
      <c r="T22" s="9">
        <v>22.592300000000002</v>
      </c>
      <c r="U22" s="9">
        <v>15.4095</v>
      </c>
      <c r="V22" s="9">
        <f t="shared" si="7"/>
        <v>7.4658000000000015</v>
      </c>
      <c r="W22" s="9">
        <f t="shared" si="8"/>
        <v>0.28299999999999947</v>
      </c>
      <c r="X22" s="2">
        <f t="shared" si="9"/>
        <v>3.7906185539392885</v>
      </c>
      <c r="Y22">
        <f t="shared" si="10"/>
        <v>7.1828000000000021</v>
      </c>
      <c r="Z22">
        <f t="shared" si="11"/>
        <v>5.8270000000000008</v>
      </c>
      <c r="AA22" s="17">
        <f t="shared" si="12"/>
        <v>18.87564737985188</v>
      </c>
      <c r="AB22" s="17">
        <f t="shared" si="13"/>
        <v>81.124352620148116</v>
      </c>
    </row>
    <row r="23" spans="1:33" x14ac:dyDescent="0.3">
      <c r="A23" t="s">
        <v>64</v>
      </c>
      <c r="B23" s="7">
        <v>1</v>
      </c>
      <c r="C23" s="9">
        <v>5.73</v>
      </c>
      <c r="D23" s="9">
        <v>14</v>
      </c>
      <c r="E23" s="9">
        <v>26.211400000000001</v>
      </c>
      <c r="F23" s="9">
        <v>32.976300000000002</v>
      </c>
      <c r="G23" s="9">
        <v>26.438800000000001</v>
      </c>
      <c r="H23" s="9">
        <f t="shared" si="0"/>
        <v>6.7649000000000008</v>
      </c>
      <c r="I23" s="9">
        <f t="shared" si="1"/>
        <v>0.22739999999999938</v>
      </c>
      <c r="J23" s="2">
        <f t="shared" si="2"/>
        <v>3.361468757853026</v>
      </c>
      <c r="K23">
        <f t="shared" si="3"/>
        <v>6.5375000000000014</v>
      </c>
      <c r="L23">
        <f t="shared" si="4"/>
        <v>5.502600000000001</v>
      </c>
      <c r="M23" s="17">
        <f t="shared" si="5"/>
        <v>15.830210325047803</v>
      </c>
      <c r="N23" s="17">
        <f t="shared" si="6"/>
        <v>84.169789674952199</v>
      </c>
      <c r="O23" s="12"/>
      <c r="P23" s="12" t="s">
        <v>209</v>
      </c>
      <c r="Q23" s="9">
        <v>8</v>
      </c>
      <c r="R23" s="9">
        <v>278</v>
      </c>
      <c r="S23" s="9">
        <v>15.960900000000001</v>
      </c>
      <c r="T23" s="9">
        <v>25.218299999999999</v>
      </c>
      <c r="U23" s="9">
        <v>16.2576</v>
      </c>
      <c r="V23" s="9">
        <f t="shared" si="7"/>
        <v>9.2573999999999987</v>
      </c>
      <c r="W23" s="9">
        <f t="shared" si="8"/>
        <v>0.29669999999999952</v>
      </c>
      <c r="X23" s="2">
        <f t="shared" si="9"/>
        <v>3.2050035647157902</v>
      </c>
      <c r="Y23">
        <f t="shared" si="10"/>
        <v>8.9606999999999992</v>
      </c>
      <c r="Z23">
        <f t="shared" si="11"/>
        <v>7.7033000000000005</v>
      </c>
      <c r="AA23" s="17">
        <f t="shared" si="12"/>
        <v>14.032385862711605</v>
      </c>
      <c r="AB23" s="17">
        <f t="shared" si="13"/>
        <v>85.967614137288393</v>
      </c>
    </row>
    <row r="24" spans="1:33" x14ac:dyDescent="0.3">
      <c r="A24"/>
      <c r="B24" s="9">
        <v>2</v>
      </c>
      <c r="C24" s="9">
        <v>7.82</v>
      </c>
      <c r="D24" s="9">
        <v>102</v>
      </c>
      <c r="E24" s="9">
        <v>16.112200000000001</v>
      </c>
      <c r="F24" s="9">
        <v>25.387499999999999</v>
      </c>
      <c r="G24" s="9">
        <v>16.5214</v>
      </c>
      <c r="H24" s="9">
        <f t="shared" si="0"/>
        <v>9.2752999999999979</v>
      </c>
      <c r="I24" s="9">
        <f t="shared" si="1"/>
        <v>0.40919999999999845</v>
      </c>
      <c r="J24" s="2">
        <f t="shared" si="2"/>
        <v>4.4117171412245266</v>
      </c>
      <c r="K24">
        <f t="shared" si="3"/>
        <v>8.8660999999999994</v>
      </c>
      <c r="L24">
        <f t="shared" si="4"/>
        <v>7.4108000000000018</v>
      </c>
      <c r="M24" s="17">
        <f t="shared" si="5"/>
        <v>16.414206922998812</v>
      </c>
      <c r="N24" s="17">
        <f t="shared" si="6"/>
        <v>83.585793077001185</v>
      </c>
      <c r="P24" s="9" t="s">
        <v>210</v>
      </c>
      <c r="Q24" s="9">
        <v>7.15</v>
      </c>
      <c r="R24" s="9">
        <v>444</v>
      </c>
      <c r="S24" s="9">
        <v>16.156300000000002</v>
      </c>
      <c r="T24" s="9">
        <v>23.816500000000001</v>
      </c>
      <c r="U24" s="9">
        <v>16.464700000000001</v>
      </c>
      <c r="V24" s="9">
        <f t="shared" si="7"/>
        <v>7.6601999999999997</v>
      </c>
      <c r="W24" s="9">
        <f t="shared" si="8"/>
        <v>0.3083999999999989</v>
      </c>
      <c r="X24" s="2">
        <f t="shared" si="9"/>
        <v>4.0260045429623101</v>
      </c>
      <c r="Y24">
        <f t="shared" si="10"/>
        <v>7.3518000000000008</v>
      </c>
      <c r="Z24">
        <f t="shared" si="11"/>
        <v>6.8416000000000015</v>
      </c>
      <c r="AA24" s="17">
        <f t="shared" si="12"/>
        <v>6.939797056503159</v>
      </c>
      <c r="AB24" s="17">
        <f t="shared" si="13"/>
        <v>93.060202943496847</v>
      </c>
    </row>
    <row r="25" spans="1:33" x14ac:dyDescent="0.3">
      <c r="A25"/>
      <c r="B25">
        <v>3</v>
      </c>
      <c r="C25" s="9">
        <v>11.1</v>
      </c>
      <c r="D25" s="9">
        <v>39</v>
      </c>
      <c r="E25" s="9">
        <v>27.909099999999999</v>
      </c>
      <c r="F25" s="9">
        <v>42.494799999999998</v>
      </c>
      <c r="G25" s="9">
        <v>28.592500000000001</v>
      </c>
      <c r="H25" s="9">
        <f t="shared" si="0"/>
        <v>14.585699999999999</v>
      </c>
      <c r="I25" s="9">
        <f t="shared" si="1"/>
        <v>0.68340000000000245</v>
      </c>
      <c r="J25" s="2">
        <f t="shared" si="2"/>
        <v>4.68541105329194</v>
      </c>
      <c r="K25">
        <f t="shared" si="3"/>
        <v>13.902299999999997</v>
      </c>
      <c r="L25">
        <f t="shared" si="4"/>
        <v>10.416599999999997</v>
      </c>
      <c r="M25" s="17">
        <f t="shared" si="5"/>
        <v>25.072829675665179</v>
      </c>
      <c r="N25" s="17">
        <f t="shared" si="6"/>
        <v>74.92717032433481</v>
      </c>
      <c r="P25" s="9" t="s">
        <v>211</v>
      </c>
      <c r="Q25" s="9">
        <v>6.55</v>
      </c>
      <c r="R25" s="9">
        <v>99</v>
      </c>
      <c r="S25" s="9">
        <v>19.3353</v>
      </c>
      <c r="T25" s="9">
        <v>26.109500000000001</v>
      </c>
      <c r="U25" s="9">
        <v>19.5398</v>
      </c>
      <c r="V25" s="9">
        <f t="shared" si="7"/>
        <v>6.7742000000000004</v>
      </c>
      <c r="W25" s="9">
        <f t="shared" si="8"/>
        <v>0.20449999999999946</v>
      </c>
      <c r="X25" s="2">
        <f t="shared" si="9"/>
        <v>3.0188066487555645</v>
      </c>
      <c r="Y25">
        <f t="shared" si="10"/>
        <v>6.569700000000001</v>
      </c>
      <c r="Z25">
        <f t="shared" si="11"/>
        <v>6.3455000000000004</v>
      </c>
      <c r="AA25" s="17">
        <f t="shared" si="12"/>
        <v>3.412636802289307</v>
      </c>
      <c r="AB25" s="17">
        <f t="shared" si="13"/>
        <v>96.587363197710701</v>
      </c>
    </row>
    <row r="26" spans="1:33" x14ac:dyDescent="0.3">
      <c r="A26"/>
      <c r="B26">
        <v>4</v>
      </c>
      <c r="C26" s="9">
        <v>11.59</v>
      </c>
      <c r="D26" s="9">
        <v>17</v>
      </c>
      <c r="E26" s="9">
        <v>17.225100000000001</v>
      </c>
      <c r="F26" s="9">
        <v>32.0931</v>
      </c>
      <c r="G26" s="9">
        <v>17.925999999999998</v>
      </c>
      <c r="H26" s="9">
        <f t="shared" si="0"/>
        <v>14.867999999999999</v>
      </c>
      <c r="I26" s="9">
        <f t="shared" si="1"/>
        <v>0.70089999999999719</v>
      </c>
      <c r="J26" s="2">
        <f t="shared" si="2"/>
        <v>4.7141511972020265</v>
      </c>
      <c r="K26">
        <f t="shared" si="3"/>
        <v>14.167100000000001</v>
      </c>
      <c r="L26">
        <f t="shared" si="4"/>
        <v>10.889100000000003</v>
      </c>
      <c r="M26" s="17">
        <f t="shared" si="5"/>
        <v>23.138115775282156</v>
      </c>
      <c r="N26" s="17">
        <f t="shared" si="6"/>
        <v>76.861884224717841</v>
      </c>
      <c r="P26" s="9" t="s">
        <v>212</v>
      </c>
      <c r="Q26" s="9">
        <v>2.82</v>
      </c>
      <c r="R26" s="9">
        <v>5</v>
      </c>
      <c r="S26" s="9">
        <v>19.024899999999999</v>
      </c>
      <c r="T26" s="9">
        <v>22.096599999999999</v>
      </c>
      <c r="U26" s="9">
        <v>19.1068</v>
      </c>
      <c r="V26" s="9">
        <f t="shared" si="7"/>
        <v>3.0716999999999999</v>
      </c>
      <c r="W26" s="9">
        <f t="shared" si="8"/>
        <v>8.1900000000000972E-2</v>
      </c>
      <c r="X26" s="2">
        <f t="shared" si="9"/>
        <v>2.6662760035160002</v>
      </c>
      <c r="Y26">
        <f t="shared" si="10"/>
        <v>2.9897999999999989</v>
      </c>
      <c r="Z26">
        <f t="shared" si="11"/>
        <v>2.7380999999999989</v>
      </c>
      <c r="AA26" s="17">
        <f t="shared" si="12"/>
        <v>8.4186233192855742</v>
      </c>
      <c r="AB26" s="17">
        <f t="shared" si="13"/>
        <v>91.581376680714428</v>
      </c>
    </row>
    <row r="27" spans="1:33" x14ac:dyDescent="0.3">
      <c r="A27"/>
      <c r="B27">
        <v>5</v>
      </c>
      <c r="C27" s="9">
        <v>20.61</v>
      </c>
      <c r="D27" s="9">
        <v>20</v>
      </c>
      <c r="E27" s="9">
        <v>17.188099999999999</v>
      </c>
      <c r="F27" s="9">
        <v>42.792700000000004</v>
      </c>
      <c r="G27" s="9">
        <v>18.483799999999999</v>
      </c>
      <c r="H27" s="9">
        <f t="shared" si="0"/>
        <v>25.604600000000005</v>
      </c>
      <c r="I27" s="9">
        <f t="shared" si="1"/>
        <v>1.2957000000000001</v>
      </c>
      <c r="J27" s="2">
        <f t="shared" si="2"/>
        <v>5.0604188309913054</v>
      </c>
      <c r="K27">
        <f t="shared" si="3"/>
        <v>24.308900000000005</v>
      </c>
      <c r="L27">
        <f t="shared" si="4"/>
        <v>19.314299999999999</v>
      </c>
      <c r="M27" s="17">
        <f t="shared" si="5"/>
        <v>20.546384246099183</v>
      </c>
      <c r="N27" s="17">
        <f t="shared" si="6"/>
        <v>79.453615753900806</v>
      </c>
    </row>
    <row r="28" spans="1:33" x14ac:dyDescent="0.3">
      <c r="A28" t="s">
        <v>67</v>
      </c>
      <c r="B28" s="7">
        <v>1</v>
      </c>
      <c r="C28" s="9">
        <v>11.25</v>
      </c>
      <c r="D28" s="9">
        <v>55</v>
      </c>
      <c r="E28" s="9">
        <v>15.0421</v>
      </c>
      <c r="F28" s="9">
        <v>28.4405</v>
      </c>
      <c r="G28" s="9">
        <v>15.5045</v>
      </c>
      <c r="H28" s="9">
        <f t="shared" si="0"/>
        <v>13.398400000000001</v>
      </c>
      <c r="I28" s="9">
        <f t="shared" si="1"/>
        <v>0.46240000000000059</v>
      </c>
      <c r="J28" s="2">
        <f t="shared" si="2"/>
        <v>3.4511583472653493</v>
      </c>
      <c r="K28">
        <f t="shared" si="3"/>
        <v>12.936</v>
      </c>
      <c r="L28">
        <f t="shared" si="4"/>
        <v>10.787599999999999</v>
      </c>
      <c r="M28" s="17">
        <f t="shared" si="5"/>
        <v>16.607915893630185</v>
      </c>
      <c r="N28" s="17">
        <f t="shared" si="6"/>
        <v>83.392084106369822</v>
      </c>
    </row>
    <row r="29" spans="1:33" x14ac:dyDescent="0.3">
      <c r="A29"/>
      <c r="B29" s="9">
        <v>2</v>
      </c>
      <c r="C29" s="9">
        <v>7.68</v>
      </c>
      <c r="D29" s="9">
        <v>22</v>
      </c>
      <c r="E29" s="9">
        <v>15.006</v>
      </c>
      <c r="F29" s="9">
        <v>24.959499999999998</v>
      </c>
      <c r="G29" s="9">
        <v>15.325699999999999</v>
      </c>
      <c r="H29" s="9">
        <f t="shared" si="0"/>
        <v>9.9534999999999982</v>
      </c>
      <c r="I29" s="9">
        <f t="shared" si="1"/>
        <v>0.31969999999999921</v>
      </c>
      <c r="J29" s="2">
        <f t="shared" si="2"/>
        <v>3.2119355000753429</v>
      </c>
      <c r="K29">
        <f t="shared" si="3"/>
        <v>9.633799999999999</v>
      </c>
      <c r="L29">
        <f t="shared" si="4"/>
        <v>7.3603000000000005</v>
      </c>
      <c r="M29" s="17">
        <f t="shared" si="5"/>
        <v>23.599202806784433</v>
      </c>
      <c r="N29" s="17">
        <f t="shared" si="6"/>
        <v>76.400797193215567</v>
      </c>
    </row>
    <row r="30" spans="1:33" x14ac:dyDescent="0.3">
      <c r="A30"/>
      <c r="B30">
        <v>3</v>
      </c>
      <c r="C30" s="9">
        <v>8.82</v>
      </c>
      <c r="D30" s="9">
        <v>9</v>
      </c>
      <c r="E30" s="9">
        <v>19.336500000000001</v>
      </c>
      <c r="F30" s="9">
        <v>29.204000000000001</v>
      </c>
      <c r="G30" s="9">
        <v>19.797899999999998</v>
      </c>
      <c r="H30" s="9">
        <f t="shared" si="0"/>
        <v>9.8674999999999997</v>
      </c>
      <c r="I30" s="9">
        <f t="shared" si="1"/>
        <v>0.46139999999999759</v>
      </c>
      <c r="J30" s="2">
        <f t="shared" si="2"/>
        <v>4.6759564225994179</v>
      </c>
      <c r="K30">
        <f t="shared" si="3"/>
        <v>9.4061000000000021</v>
      </c>
      <c r="L30">
        <f t="shared" si="4"/>
        <v>8.3586000000000027</v>
      </c>
      <c r="M30" s="17">
        <f t="shared" si="5"/>
        <v>11.13639021486056</v>
      </c>
      <c r="N30" s="17">
        <f t="shared" si="6"/>
        <v>88.863609785139431</v>
      </c>
    </row>
    <row r="31" spans="1:33" x14ac:dyDescent="0.3">
      <c r="A31"/>
      <c r="B31">
        <v>4</v>
      </c>
      <c r="C31" s="9">
        <v>8.08</v>
      </c>
      <c r="D31" s="9">
        <v>31</v>
      </c>
      <c r="E31" s="9">
        <v>19.509899999999998</v>
      </c>
      <c r="F31" s="9">
        <v>30.0168</v>
      </c>
      <c r="G31" s="9">
        <v>19.880099999999999</v>
      </c>
      <c r="H31" s="9">
        <f t="shared" si="0"/>
        <v>10.506900000000002</v>
      </c>
      <c r="I31" s="9">
        <f t="shared" si="1"/>
        <v>0.37020000000000053</v>
      </c>
      <c r="J31" s="2">
        <f t="shared" si="2"/>
        <v>3.5233989092881863</v>
      </c>
      <c r="K31">
        <f t="shared" si="3"/>
        <v>10.136700000000001</v>
      </c>
      <c r="L31">
        <f t="shared" si="4"/>
        <v>7.7097999999999995</v>
      </c>
      <c r="M31" s="17">
        <f t="shared" si="5"/>
        <v>23.941716732269885</v>
      </c>
      <c r="N31" s="17">
        <f t="shared" si="6"/>
        <v>76.058283267730104</v>
      </c>
    </row>
    <row r="32" spans="1:33" x14ac:dyDescent="0.3">
      <c r="A32"/>
      <c r="B32">
        <v>5</v>
      </c>
      <c r="C32" s="9">
        <v>6.31</v>
      </c>
      <c r="D32" s="9">
        <v>6</v>
      </c>
      <c r="E32" s="9">
        <v>19.0517</v>
      </c>
      <c r="F32" s="9">
        <v>28.150300000000001</v>
      </c>
      <c r="G32" s="9">
        <v>19.586200000000002</v>
      </c>
      <c r="H32" s="9">
        <f t="shared" si="0"/>
        <v>9.0986000000000011</v>
      </c>
      <c r="I32" s="9">
        <f t="shared" si="1"/>
        <v>0.53450000000000131</v>
      </c>
      <c r="J32" s="2">
        <f t="shared" si="2"/>
        <v>5.8745301474952329</v>
      </c>
      <c r="K32">
        <f t="shared" si="3"/>
        <v>8.5640999999999998</v>
      </c>
      <c r="L32">
        <f t="shared" si="4"/>
        <v>5.7754999999999983</v>
      </c>
      <c r="M32" s="17">
        <f t="shared" si="5"/>
        <v>32.561506754942158</v>
      </c>
      <c r="N32" s="17">
        <f t="shared" si="6"/>
        <v>67.438493245057842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2A72-850C-43A7-A051-7B6C2F8A0B34}">
  <dimension ref="A1:AA35"/>
  <sheetViews>
    <sheetView topLeftCell="E7" zoomScale="90" zoomScaleNormal="90" workbookViewId="0">
      <selection activeCell="Q34" sqref="Q34"/>
    </sheetView>
  </sheetViews>
  <sheetFormatPr defaultRowHeight="14.4" x14ac:dyDescent="0.3"/>
  <cols>
    <col min="1" max="14" width="8.88671875" style="9"/>
    <col min="15" max="15" width="10.44140625" style="9" bestFit="1" customWidth="1"/>
    <col min="16" max="16" width="20" style="9" bestFit="1" customWidth="1"/>
    <col min="17" max="17" width="15.44140625" style="9" bestFit="1" customWidth="1"/>
    <col min="18" max="19" width="8.88671875" style="9"/>
    <col min="20" max="20" width="9.44140625" style="9" bestFit="1" customWidth="1"/>
    <col min="21" max="16384" width="8.88671875" style="9"/>
  </cols>
  <sheetData>
    <row r="1" spans="1:27" x14ac:dyDescent="0.3">
      <c r="A1" s="9" t="s">
        <v>75</v>
      </c>
      <c r="B1" s="9" t="s">
        <v>56</v>
      </c>
      <c r="C1" s="9" t="s">
        <v>116</v>
      </c>
      <c r="D1" s="9">
        <v>2</v>
      </c>
      <c r="E1" s="9">
        <v>3</v>
      </c>
      <c r="F1" s="9" t="s">
        <v>156</v>
      </c>
      <c r="G1" s="9" t="s">
        <v>117</v>
      </c>
      <c r="H1" s="9" t="s">
        <v>97</v>
      </c>
      <c r="I1" s="9" t="s">
        <v>115</v>
      </c>
      <c r="J1" s="9" t="s">
        <v>99</v>
      </c>
      <c r="K1" s="9" t="s">
        <v>100</v>
      </c>
      <c r="L1" s="18" t="s">
        <v>152</v>
      </c>
      <c r="M1" t="s">
        <v>153</v>
      </c>
      <c r="N1" s="4" t="s">
        <v>154</v>
      </c>
      <c r="O1" s="4" t="s">
        <v>155</v>
      </c>
      <c r="Q1" s="9" t="s">
        <v>219</v>
      </c>
      <c r="R1" s="9" t="s">
        <v>226</v>
      </c>
      <c r="S1" s="9" t="s">
        <v>117</v>
      </c>
      <c r="T1" s="9" t="s">
        <v>220</v>
      </c>
      <c r="U1" s="9" t="s">
        <v>217</v>
      </c>
      <c r="V1" s="9" t="s">
        <v>218</v>
      </c>
      <c r="W1" s="9" t="s">
        <v>221</v>
      </c>
      <c r="X1" s="18" t="s">
        <v>152</v>
      </c>
      <c r="Y1" t="s">
        <v>153</v>
      </c>
      <c r="Z1" s="4" t="s">
        <v>154</v>
      </c>
      <c r="AA1" s="4" t="s">
        <v>155</v>
      </c>
    </row>
    <row r="2" spans="1:27" x14ac:dyDescent="0.3">
      <c r="A2" t="s">
        <v>65</v>
      </c>
      <c r="B2" s="7">
        <v>1</v>
      </c>
      <c r="C2" s="9">
        <v>2.3860000000000001</v>
      </c>
      <c r="D2" s="9">
        <v>3.117</v>
      </c>
      <c r="E2" s="9">
        <v>2.927</v>
      </c>
      <c r="F2" s="9">
        <f>SUM(C2:E2)</f>
        <v>8.43</v>
      </c>
      <c r="G2" s="9">
        <f>J2-I2</f>
        <v>4.6485000000000003</v>
      </c>
      <c r="H2" s="9">
        <v>11</v>
      </c>
      <c r="I2" s="9">
        <v>14.8024</v>
      </c>
      <c r="J2" s="9">
        <v>19.450900000000001</v>
      </c>
      <c r="K2" s="9">
        <v>15.0961</v>
      </c>
      <c r="L2" s="2">
        <f>(K2-I2)*100/G2</f>
        <v>6.3181671506937587</v>
      </c>
      <c r="M2" s="2">
        <f>(F2-(K2-I2))*100/F2</f>
        <v>96.516014234875442</v>
      </c>
      <c r="N2" s="17">
        <f>(G2-(K2-I2))*100/F2</f>
        <v>51.658362989323855</v>
      </c>
      <c r="O2" s="17">
        <f t="shared" ref="O2:O32" si="0">M2-N2</f>
        <v>44.857651245551587</v>
      </c>
      <c r="Q2" s="9" t="s">
        <v>193</v>
      </c>
      <c r="R2" s="11">
        <v>5.56</v>
      </c>
      <c r="S2" s="11">
        <f>V2-U2</f>
        <v>4.1291999999999991</v>
      </c>
      <c r="T2" s="56">
        <v>2</v>
      </c>
      <c r="U2" s="14">
        <v>12.567500000000001</v>
      </c>
      <c r="V2" s="14">
        <v>16.6967</v>
      </c>
      <c r="W2" s="14">
        <v>12.787599999999999</v>
      </c>
      <c r="X2" s="2">
        <f>(W2-U2)*100/S2</f>
        <v>5.3303303303302982</v>
      </c>
      <c r="Y2" s="2">
        <f>(R2-(W2-U2))*100/R2</f>
        <v>96.041366906474849</v>
      </c>
      <c r="Z2" s="17">
        <f>(S2-(W2-U2))*100/R2</f>
        <v>70.307553956834539</v>
      </c>
      <c r="AA2" s="17">
        <f t="shared" ref="AA2:AA26" si="1">Y2-Z2</f>
        <v>25.73381294964031</v>
      </c>
    </row>
    <row r="3" spans="1:27" x14ac:dyDescent="0.3">
      <c r="A3"/>
      <c r="B3" s="9">
        <v>2</v>
      </c>
      <c r="C3" s="9">
        <v>2.3708</v>
      </c>
      <c r="D3" s="9">
        <v>2.778</v>
      </c>
      <c r="E3" s="14">
        <v>3.1564000000000001</v>
      </c>
      <c r="F3" s="9">
        <f t="shared" ref="F3:F11" si="2">SUM(C3:E3)</f>
        <v>8.3051999999999992</v>
      </c>
      <c r="G3" s="9">
        <f>J3-I3</f>
        <v>5.5859000000000023</v>
      </c>
      <c r="H3" s="9">
        <v>16</v>
      </c>
      <c r="I3" s="9">
        <v>17.062899999999999</v>
      </c>
      <c r="J3" s="9">
        <v>22.648800000000001</v>
      </c>
      <c r="K3" s="9">
        <v>17.398599999999998</v>
      </c>
      <c r="L3" s="2">
        <f t="shared" ref="L3:L32" si="3">(K3-I3)*100/G3</f>
        <v>6.0097746110742953</v>
      </c>
      <c r="M3" s="2">
        <f t="shared" ref="M3:M32" si="4">(F3-(K3-I3))*100/F3</f>
        <v>95.957954052882542</v>
      </c>
      <c r="N3" s="17">
        <f t="shared" ref="N3:N32" si="5">(G3-(K3-I3))*100/F3</f>
        <v>63.215816596830948</v>
      </c>
      <c r="O3" s="17">
        <f t="shared" si="0"/>
        <v>32.742137456051594</v>
      </c>
      <c r="P3" s="12"/>
      <c r="Q3" s="12" t="s">
        <v>64</v>
      </c>
      <c r="R3" s="11">
        <v>5.04</v>
      </c>
      <c r="S3" s="11">
        <f t="shared" ref="S3:S26" si="6">V3-U3</f>
        <v>2.6864999999999988</v>
      </c>
      <c r="T3" s="56">
        <v>13</v>
      </c>
      <c r="U3" s="14">
        <v>17.4755</v>
      </c>
      <c r="V3" s="14">
        <v>20.161999999999999</v>
      </c>
      <c r="W3" s="14">
        <v>17.6755</v>
      </c>
      <c r="X3" s="2">
        <f t="shared" ref="X3:X26" si="7">(W3-U3)*100/S3</f>
        <v>7.4446305602084264</v>
      </c>
      <c r="Y3" s="2">
        <f t="shared" ref="Y3:Y26" si="8">(R3-(W3-U3))*100/R3</f>
        <v>96.031746031746039</v>
      </c>
      <c r="Z3" s="17">
        <f t="shared" ref="Z3:Z26" si="9">(S3-(W3-U3))*100/R3</f>
        <v>49.335317460317448</v>
      </c>
      <c r="AA3" s="17">
        <f t="shared" si="1"/>
        <v>46.696428571428591</v>
      </c>
    </row>
    <row r="4" spans="1:27" x14ac:dyDescent="0.3">
      <c r="A4"/>
      <c r="B4">
        <v>3</v>
      </c>
      <c r="C4" s="9">
        <v>2.3980000000000001</v>
      </c>
      <c r="D4" s="9">
        <v>4.5319000000000003</v>
      </c>
      <c r="E4" s="14">
        <v>3.0739000000000001</v>
      </c>
      <c r="F4" s="9">
        <f t="shared" si="2"/>
        <v>10.0038</v>
      </c>
      <c r="G4" s="9">
        <f>J4-I4</f>
        <v>7.3805000000000014</v>
      </c>
      <c r="H4" s="9">
        <v>20</v>
      </c>
      <c r="I4" s="9">
        <v>14.902799999999999</v>
      </c>
      <c r="J4" s="9">
        <v>22.283300000000001</v>
      </c>
      <c r="K4" s="9">
        <v>15.4031</v>
      </c>
      <c r="L4" s="2">
        <f t="shared" si="3"/>
        <v>6.7786735316035633</v>
      </c>
      <c r="M4" s="2">
        <f t="shared" si="4"/>
        <v>94.998900417841213</v>
      </c>
      <c r="N4" s="17">
        <f t="shared" si="5"/>
        <v>68.775865171234926</v>
      </c>
      <c r="O4" s="17">
        <f t="shared" si="0"/>
        <v>26.223035246606287</v>
      </c>
      <c r="P4" s="12"/>
      <c r="Q4" s="12" t="s">
        <v>63</v>
      </c>
      <c r="R4" s="11">
        <v>6.45</v>
      </c>
      <c r="S4" s="11">
        <f t="shared" si="6"/>
        <v>5.1656000000000013</v>
      </c>
      <c r="T4" s="56">
        <v>580</v>
      </c>
      <c r="U4" s="14">
        <v>19.3064</v>
      </c>
      <c r="V4" s="14">
        <v>24.472000000000001</v>
      </c>
      <c r="W4" s="14">
        <v>19.529499999999999</v>
      </c>
      <c r="X4" s="2">
        <f t="shared" si="7"/>
        <v>4.3189561715966915</v>
      </c>
      <c r="Y4" s="2">
        <f t="shared" si="8"/>
        <v>96.541085271317854</v>
      </c>
      <c r="Z4" s="17">
        <f t="shared" si="9"/>
        <v>76.627906976744214</v>
      </c>
      <c r="AA4" s="17">
        <f t="shared" si="1"/>
        <v>19.91317829457364</v>
      </c>
    </row>
    <row r="5" spans="1:27" x14ac:dyDescent="0.3">
      <c r="A5"/>
      <c r="B5">
        <v>4</v>
      </c>
      <c r="C5" s="9">
        <v>2.0339999999999998</v>
      </c>
      <c r="D5" s="9">
        <v>2.9741</v>
      </c>
      <c r="E5" s="14">
        <v>4.0613999999999999</v>
      </c>
      <c r="F5" s="9">
        <f t="shared" si="2"/>
        <v>9.0694999999999997</v>
      </c>
      <c r="G5" s="9">
        <f>J5-I5</f>
        <v>5.9773999999999994</v>
      </c>
      <c r="H5" s="9">
        <v>310</v>
      </c>
      <c r="I5" s="9">
        <v>12.7224</v>
      </c>
      <c r="J5" s="9">
        <v>18.6998</v>
      </c>
      <c r="K5" s="9">
        <v>13.115</v>
      </c>
      <c r="L5" s="2">
        <f t="shared" si="3"/>
        <v>6.5680730752501066</v>
      </c>
      <c r="M5" s="2">
        <f t="shared" si="4"/>
        <v>95.671205689398533</v>
      </c>
      <c r="N5" s="17">
        <f t="shared" si="5"/>
        <v>61.577815756105622</v>
      </c>
      <c r="O5" s="17">
        <f t="shared" si="0"/>
        <v>34.093389933292912</v>
      </c>
      <c r="P5" s="12"/>
      <c r="Q5" s="12" t="s">
        <v>194</v>
      </c>
      <c r="R5" s="11">
        <v>8.33</v>
      </c>
      <c r="S5" s="11">
        <f t="shared" si="6"/>
        <v>5.3755000000000006</v>
      </c>
      <c r="T5" s="56">
        <v>11</v>
      </c>
      <c r="U5" s="14">
        <v>14.8072</v>
      </c>
      <c r="V5" s="14">
        <v>20.182700000000001</v>
      </c>
      <c r="W5" s="14">
        <v>15.211</v>
      </c>
      <c r="X5" s="2">
        <f t="shared" si="7"/>
        <v>7.5118593619198277</v>
      </c>
      <c r="Y5" s="2">
        <f t="shared" si="8"/>
        <v>95.152460984393755</v>
      </c>
      <c r="Z5" s="17">
        <f t="shared" si="9"/>
        <v>59.684273709483797</v>
      </c>
      <c r="AA5" s="17">
        <f t="shared" si="1"/>
        <v>35.468187274909958</v>
      </c>
    </row>
    <row r="6" spans="1:27" x14ac:dyDescent="0.3">
      <c r="A6"/>
      <c r="B6">
        <v>5</v>
      </c>
      <c r="C6" s="9">
        <v>2.0476000000000001</v>
      </c>
      <c r="D6" s="9">
        <v>2.7946</v>
      </c>
      <c r="E6" s="14">
        <v>2.8552</v>
      </c>
      <c r="F6" s="9">
        <f t="shared" si="2"/>
        <v>7.6974</v>
      </c>
      <c r="G6" s="9">
        <f>J6-I6</f>
        <v>5.1904000000000003</v>
      </c>
      <c r="H6" s="9">
        <v>574</v>
      </c>
      <c r="I6" s="9">
        <v>19.136199999999999</v>
      </c>
      <c r="J6" s="9">
        <v>24.326599999999999</v>
      </c>
      <c r="K6" s="9">
        <v>19.509899999999998</v>
      </c>
      <c r="L6" s="2">
        <f t="shared" si="3"/>
        <v>7.19983045622687</v>
      </c>
      <c r="M6" s="2">
        <f t="shared" si="4"/>
        <v>95.145113934575306</v>
      </c>
      <c r="N6" s="17">
        <f t="shared" si="5"/>
        <v>62.575674903214079</v>
      </c>
      <c r="O6" s="17">
        <f t="shared" si="0"/>
        <v>32.569439031361227</v>
      </c>
      <c r="P6" s="12"/>
      <c r="Q6" s="12" t="s">
        <v>195</v>
      </c>
      <c r="R6" s="11">
        <v>8.7200000000000006</v>
      </c>
      <c r="S6" s="11">
        <f t="shared" si="6"/>
        <v>5.9600000000000009</v>
      </c>
      <c r="T6" s="56">
        <v>43</v>
      </c>
      <c r="U6" s="14">
        <v>16.010300000000001</v>
      </c>
      <c r="V6" s="14">
        <v>21.970300000000002</v>
      </c>
      <c r="W6" s="14">
        <v>16.448499999999999</v>
      </c>
      <c r="X6" s="2">
        <f t="shared" si="7"/>
        <v>7.3523489932885626</v>
      </c>
      <c r="Y6" s="2">
        <f t="shared" si="8"/>
        <v>94.974770642201847</v>
      </c>
      <c r="Z6" s="17">
        <f t="shared" si="9"/>
        <v>63.32339449541287</v>
      </c>
      <c r="AA6" s="17">
        <f t="shared" si="1"/>
        <v>31.651376146788976</v>
      </c>
    </row>
    <row r="7" spans="1:27" x14ac:dyDescent="0.3">
      <c r="A7" t="s">
        <v>66</v>
      </c>
      <c r="B7" s="7">
        <v>1</v>
      </c>
      <c r="C7" s="9">
        <v>2.3243999999999998</v>
      </c>
      <c r="D7" s="9">
        <v>1.833</v>
      </c>
      <c r="E7" s="14">
        <v>2.8250999999999999</v>
      </c>
      <c r="F7" s="9">
        <f t="shared" si="2"/>
        <v>6.9824999999999999</v>
      </c>
      <c r="G7" s="9">
        <f t="shared" ref="G7:G32" si="10">J7-I7</f>
        <v>4.8365000000000009</v>
      </c>
      <c r="H7" s="9">
        <v>10</v>
      </c>
      <c r="I7" s="9">
        <v>15.095800000000001</v>
      </c>
      <c r="J7" s="9">
        <v>19.932300000000001</v>
      </c>
      <c r="K7" s="9">
        <v>15.3718</v>
      </c>
      <c r="L7" s="2">
        <f t="shared" si="3"/>
        <v>5.7066060167476431</v>
      </c>
      <c r="M7" s="2">
        <f t="shared" si="4"/>
        <v>96.047261009667025</v>
      </c>
      <c r="N7" s="17">
        <f t="shared" si="5"/>
        <v>65.313283208020067</v>
      </c>
      <c r="O7" s="17">
        <f t="shared" si="0"/>
        <v>30.733977801646958</v>
      </c>
      <c r="Q7" s="9" t="s">
        <v>196</v>
      </c>
      <c r="R7" s="11">
        <v>9.3800000000000008</v>
      </c>
      <c r="S7" s="11">
        <f t="shared" si="6"/>
        <v>7.7950999999999979</v>
      </c>
      <c r="T7" s="56">
        <v>310</v>
      </c>
      <c r="U7" s="14">
        <v>12.713100000000001</v>
      </c>
      <c r="V7" s="14">
        <v>20.508199999999999</v>
      </c>
      <c r="W7" s="14">
        <v>13.2346</v>
      </c>
      <c r="X7" s="2">
        <f t="shared" si="7"/>
        <v>6.6901001911457172</v>
      </c>
      <c r="Y7" s="2">
        <f t="shared" si="8"/>
        <v>94.4402985074627</v>
      </c>
      <c r="Z7" s="17">
        <f t="shared" si="9"/>
        <v>77.543710021321928</v>
      </c>
      <c r="AA7" s="17">
        <f t="shared" si="1"/>
        <v>16.896588486140772</v>
      </c>
    </row>
    <row r="8" spans="1:27" x14ac:dyDescent="0.3">
      <c r="A8"/>
      <c r="B8" s="9">
        <v>2</v>
      </c>
      <c r="C8" s="9">
        <v>3.6168</v>
      </c>
      <c r="D8" s="9">
        <v>3.9018000000000002</v>
      </c>
      <c r="E8" s="14">
        <v>3.8997999999999999</v>
      </c>
      <c r="F8" s="9">
        <f t="shared" si="2"/>
        <v>11.4184</v>
      </c>
      <c r="G8" s="9">
        <f t="shared" si="10"/>
        <v>8.764999999999997</v>
      </c>
      <c r="H8" s="9">
        <v>14</v>
      </c>
      <c r="I8" s="9">
        <v>26.1981</v>
      </c>
      <c r="J8" s="9">
        <v>34.963099999999997</v>
      </c>
      <c r="K8" s="14">
        <v>26.6859</v>
      </c>
      <c r="L8" s="2">
        <f t="shared" si="3"/>
        <v>5.5653166001140919</v>
      </c>
      <c r="M8" s="2">
        <f t="shared" si="4"/>
        <v>95.727947873607505</v>
      </c>
      <c r="N8" s="17">
        <f>(G8-(K8-I8))*100/F8</f>
        <v>72.490016114341742</v>
      </c>
      <c r="O8" s="17">
        <f t="shared" si="0"/>
        <v>23.237931759265763</v>
      </c>
      <c r="Q8" s="12" t="s">
        <v>67</v>
      </c>
      <c r="R8" s="11">
        <v>4.9000000000000004</v>
      </c>
      <c r="S8" s="11">
        <f t="shared" si="6"/>
        <v>2.3137000000000008</v>
      </c>
      <c r="T8" s="56">
        <v>17</v>
      </c>
      <c r="U8" s="14">
        <v>18.948</v>
      </c>
      <c r="V8" s="14">
        <v>21.261700000000001</v>
      </c>
      <c r="W8" s="14">
        <v>19.1478</v>
      </c>
      <c r="X8" s="2">
        <f t="shared" si="7"/>
        <v>8.635518865885798</v>
      </c>
      <c r="Y8" s="2">
        <f t="shared" si="8"/>
        <v>95.922448979591834</v>
      </c>
      <c r="Z8" s="17">
        <f t="shared" si="9"/>
        <v>43.140816326530633</v>
      </c>
      <c r="AA8" s="17">
        <f t="shared" si="1"/>
        <v>52.781632653061202</v>
      </c>
    </row>
    <row r="9" spans="1:27" x14ac:dyDescent="0.3">
      <c r="A9"/>
      <c r="B9">
        <v>3</v>
      </c>
      <c r="C9" s="9">
        <v>3.4887000000000001</v>
      </c>
      <c r="D9" s="9">
        <v>2.6472000000000002</v>
      </c>
      <c r="E9" s="14">
        <v>5.6429999999999998</v>
      </c>
      <c r="F9" s="9">
        <f t="shared" si="2"/>
        <v>11.7789</v>
      </c>
      <c r="G9" s="9">
        <f t="shared" si="10"/>
        <v>9.7910000000000004</v>
      </c>
      <c r="H9" s="9">
        <v>17</v>
      </c>
      <c r="I9" s="9">
        <v>17.055299999999999</v>
      </c>
      <c r="J9" s="9">
        <v>26.846299999999999</v>
      </c>
      <c r="K9" s="14">
        <v>17.633199999999999</v>
      </c>
      <c r="L9" s="2">
        <f t="shared" si="3"/>
        <v>5.9023593095700093</v>
      </c>
      <c r="M9" s="2">
        <f t="shared" si="4"/>
        <v>95.093769367258417</v>
      </c>
      <c r="N9" s="17">
        <f t="shared" si="5"/>
        <v>78.216981212167525</v>
      </c>
      <c r="O9" s="17">
        <f t="shared" si="0"/>
        <v>16.876788155090892</v>
      </c>
      <c r="Q9" s="12" t="s">
        <v>197</v>
      </c>
      <c r="R9" s="11">
        <v>11.85</v>
      </c>
      <c r="S9" s="11">
        <f t="shared" si="6"/>
        <v>7.3338999999999999</v>
      </c>
      <c r="T9" s="56">
        <v>4</v>
      </c>
      <c r="U9" s="14">
        <v>16.468599999999999</v>
      </c>
      <c r="V9" s="14">
        <v>23.802499999999998</v>
      </c>
      <c r="W9" s="14">
        <v>17.017199999999999</v>
      </c>
      <c r="X9" s="2">
        <f t="shared" si="7"/>
        <v>7.4803310653267765</v>
      </c>
      <c r="Y9" s="2">
        <f t="shared" si="8"/>
        <v>95.370464135021095</v>
      </c>
      <c r="Z9" s="17">
        <f t="shared" si="9"/>
        <v>57.259915611814343</v>
      </c>
      <c r="AA9" s="17">
        <f t="shared" si="1"/>
        <v>38.110548523206752</v>
      </c>
    </row>
    <row r="10" spans="1:27" x14ac:dyDescent="0.3">
      <c r="A10"/>
      <c r="B10">
        <v>4</v>
      </c>
      <c r="C10" s="9">
        <v>4.2683</v>
      </c>
      <c r="D10" s="9">
        <v>5.2779999999999996</v>
      </c>
      <c r="E10" s="14">
        <v>3.7208000000000001</v>
      </c>
      <c r="F10" s="9">
        <f t="shared" si="2"/>
        <v>13.267099999999999</v>
      </c>
      <c r="G10" s="9">
        <f t="shared" si="10"/>
        <v>10.5245</v>
      </c>
      <c r="H10" s="9">
        <v>31</v>
      </c>
      <c r="I10" s="9">
        <v>19.381599999999999</v>
      </c>
      <c r="J10" s="9">
        <v>29.906099999999999</v>
      </c>
      <c r="K10" s="14">
        <v>20.0197</v>
      </c>
      <c r="L10" s="2">
        <f t="shared" si="3"/>
        <v>6.0629958667870349</v>
      </c>
      <c r="M10" s="2">
        <f t="shared" si="4"/>
        <v>95.190358103881024</v>
      </c>
      <c r="N10" s="17">
        <f t="shared" si="5"/>
        <v>74.518169004529994</v>
      </c>
      <c r="O10" s="17">
        <f t="shared" si="0"/>
        <v>20.67218909935103</v>
      </c>
      <c r="Q10" s="12" t="s">
        <v>198</v>
      </c>
      <c r="R10" s="11">
        <v>9.83</v>
      </c>
      <c r="S10" s="11">
        <f t="shared" si="6"/>
        <v>7.4824000000000002</v>
      </c>
      <c r="T10" s="56">
        <v>120</v>
      </c>
      <c r="U10" s="14">
        <v>15.261699999999999</v>
      </c>
      <c r="V10" s="14">
        <v>22.7441</v>
      </c>
      <c r="W10" s="14">
        <v>15.7037</v>
      </c>
      <c r="X10" s="2">
        <f t="shared" si="7"/>
        <v>5.9071955522292336</v>
      </c>
      <c r="Y10" s="2">
        <f t="shared" si="8"/>
        <v>95.503560528992878</v>
      </c>
      <c r="Z10" s="17">
        <f t="shared" si="9"/>
        <v>71.621566632756867</v>
      </c>
      <c r="AA10" s="17">
        <f t="shared" si="1"/>
        <v>23.881993896236011</v>
      </c>
    </row>
    <row r="11" spans="1:27" x14ac:dyDescent="0.3">
      <c r="A11"/>
      <c r="B11">
        <v>5</v>
      </c>
      <c r="C11" s="9">
        <v>5.5467000000000004</v>
      </c>
      <c r="D11" s="9">
        <v>6.5488</v>
      </c>
      <c r="E11" s="14">
        <v>5.1254</v>
      </c>
      <c r="F11" s="9">
        <f t="shared" si="2"/>
        <v>17.2209</v>
      </c>
      <c r="G11" s="9">
        <f t="shared" si="10"/>
        <v>13.5701</v>
      </c>
      <c r="H11" s="9">
        <v>99</v>
      </c>
      <c r="I11" s="9">
        <v>14.9511</v>
      </c>
      <c r="J11" s="9">
        <v>28.5212</v>
      </c>
      <c r="K11" s="14">
        <v>15.856199999999999</v>
      </c>
      <c r="L11" s="2">
        <f t="shared" si="3"/>
        <v>6.6698108341132274</v>
      </c>
      <c r="M11" s="2">
        <f t="shared" si="4"/>
        <v>94.744177133599308</v>
      </c>
      <c r="N11" s="17">
        <f t="shared" si="5"/>
        <v>73.544355986040216</v>
      </c>
      <c r="O11" s="17">
        <f t="shared" si="0"/>
        <v>21.199821147559092</v>
      </c>
      <c r="Q11" s="12" t="s">
        <v>199</v>
      </c>
      <c r="R11" s="11">
        <v>10.77</v>
      </c>
      <c r="S11" s="11">
        <f t="shared" si="6"/>
        <v>8.3946000000000005</v>
      </c>
      <c r="T11" s="56">
        <v>25</v>
      </c>
      <c r="U11" s="14">
        <v>15.3322</v>
      </c>
      <c r="V11" s="14">
        <v>23.726800000000001</v>
      </c>
      <c r="W11" s="14">
        <v>15.8643</v>
      </c>
      <c r="X11" s="2">
        <f t="shared" si="7"/>
        <v>6.3385986229242581</v>
      </c>
      <c r="Y11" s="2">
        <f t="shared" si="8"/>
        <v>95.059424326833792</v>
      </c>
      <c r="Z11" s="17">
        <f t="shared" si="9"/>
        <v>73.003714020427125</v>
      </c>
      <c r="AA11" s="17">
        <f t="shared" si="1"/>
        <v>22.055710306406667</v>
      </c>
    </row>
    <row r="12" spans="1:27" x14ac:dyDescent="0.3">
      <c r="A12"/>
      <c r="B12"/>
      <c r="E12" s="14"/>
      <c r="F12" s="14"/>
      <c r="G12" s="9" t="s">
        <v>139</v>
      </c>
      <c r="K12" s="14"/>
      <c r="L12" s="2"/>
      <c r="M12" s="2"/>
      <c r="N12" s="17"/>
      <c r="O12" s="17"/>
      <c r="Q12" s="12" t="s">
        <v>200</v>
      </c>
      <c r="R12" s="11">
        <v>2.62</v>
      </c>
      <c r="S12" s="11">
        <f t="shared" si="6"/>
        <v>1.3534000000000006</v>
      </c>
      <c r="T12" s="56">
        <v>18</v>
      </c>
      <c r="U12" s="14">
        <v>14.452</v>
      </c>
      <c r="V12" s="14">
        <v>15.805400000000001</v>
      </c>
      <c r="W12" s="14">
        <v>14.5646</v>
      </c>
      <c r="X12" s="2">
        <f t="shared" si="7"/>
        <v>8.3197872026008888</v>
      </c>
      <c r="Y12" s="2">
        <f t="shared" si="8"/>
        <v>95.702290076335856</v>
      </c>
      <c r="Z12" s="17">
        <f t="shared" si="9"/>
        <v>47.358778625954201</v>
      </c>
      <c r="AA12" s="17">
        <f t="shared" si="1"/>
        <v>48.343511450381655</v>
      </c>
    </row>
    <row r="13" spans="1:27" x14ac:dyDescent="0.3">
      <c r="A13" s="1" t="s">
        <v>58</v>
      </c>
      <c r="B13" s="7">
        <v>1</v>
      </c>
      <c r="F13" s="9">
        <v>3.58</v>
      </c>
      <c r="G13" s="9">
        <f t="shared" si="10"/>
        <v>2.3768000000000011</v>
      </c>
      <c r="H13" s="9">
        <v>11</v>
      </c>
      <c r="I13" s="9">
        <v>14.8012</v>
      </c>
      <c r="J13" s="9">
        <v>17.178000000000001</v>
      </c>
      <c r="K13" s="14">
        <v>14.993499999999999</v>
      </c>
      <c r="L13" s="2">
        <f t="shared" si="3"/>
        <v>8.0907101985863079</v>
      </c>
      <c r="M13" s="2">
        <f t="shared" si="4"/>
        <v>94.628491620111745</v>
      </c>
      <c r="N13" s="17">
        <f t="shared" si="5"/>
        <v>61.01955307262574</v>
      </c>
      <c r="O13" s="17">
        <f t="shared" si="0"/>
        <v>33.608938547486005</v>
      </c>
      <c r="Q13" s="9" t="s">
        <v>201</v>
      </c>
      <c r="R13" s="11">
        <v>4.58</v>
      </c>
      <c r="S13" s="11">
        <f t="shared" si="6"/>
        <v>3.3200000000000003</v>
      </c>
      <c r="T13" s="56">
        <v>21</v>
      </c>
      <c r="U13" s="14">
        <v>15.397600000000001</v>
      </c>
      <c r="V13" s="14">
        <v>18.717600000000001</v>
      </c>
      <c r="W13" s="14">
        <v>15.579800000000001</v>
      </c>
      <c r="X13" s="2">
        <f t="shared" si="7"/>
        <v>5.4879518072289128</v>
      </c>
      <c r="Y13" s="2">
        <f t="shared" si="8"/>
        <v>96.02183406113538</v>
      </c>
      <c r="Z13" s="17">
        <f t="shared" si="9"/>
        <v>68.510917030567697</v>
      </c>
      <c r="AA13" s="17">
        <f t="shared" si="1"/>
        <v>27.510917030567683</v>
      </c>
    </row>
    <row r="14" spans="1:27" x14ac:dyDescent="0.3">
      <c r="A14" s="1"/>
      <c r="B14" s="9">
        <v>2</v>
      </c>
      <c r="F14" s="9">
        <v>4.4400000000000004</v>
      </c>
      <c r="G14" s="9">
        <f t="shared" si="10"/>
        <v>1.6823999999999995</v>
      </c>
      <c r="H14" s="9">
        <v>25</v>
      </c>
      <c r="I14" s="9">
        <v>15.331200000000001</v>
      </c>
      <c r="J14" s="9">
        <v>17.0136</v>
      </c>
      <c r="K14" s="14">
        <v>15.5418</v>
      </c>
      <c r="L14" s="2">
        <f t="shared" si="3"/>
        <v>12.517831669044194</v>
      </c>
      <c r="M14" s="2">
        <f t="shared" si="4"/>
        <v>95.256756756756772</v>
      </c>
      <c r="N14" s="17">
        <f t="shared" si="5"/>
        <v>33.148648648648646</v>
      </c>
      <c r="O14" s="17">
        <f t="shared" si="0"/>
        <v>62.108108108108127</v>
      </c>
      <c r="Q14" s="9" t="s">
        <v>202</v>
      </c>
      <c r="R14" s="11">
        <v>6.05</v>
      </c>
      <c r="S14" s="11">
        <f t="shared" si="6"/>
        <v>4.1508000000000003</v>
      </c>
      <c r="T14" s="56">
        <v>24</v>
      </c>
      <c r="U14" s="14">
        <v>14.923999999999999</v>
      </c>
      <c r="V14" s="14">
        <v>19.0748</v>
      </c>
      <c r="W14" s="14">
        <v>15.1782</v>
      </c>
      <c r="X14" s="2">
        <f t="shared" si="7"/>
        <v>6.1241206514407063</v>
      </c>
      <c r="Y14" s="2">
        <f t="shared" si="8"/>
        <v>95.798347107438005</v>
      </c>
      <c r="Z14" s="17">
        <f t="shared" si="9"/>
        <v>64.406611570247932</v>
      </c>
      <c r="AA14" s="17">
        <f t="shared" si="1"/>
        <v>31.391735537190073</v>
      </c>
    </row>
    <row r="15" spans="1:27" x14ac:dyDescent="0.3">
      <c r="A15" s="1"/>
      <c r="B15">
        <v>3</v>
      </c>
      <c r="F15" s="9">
        <v>4.0999999999999996</v>
      </c>
      <c r="G15" s="9">
        <f t="shared" si="10"/>
        <v>1.4801000000000002</v>
      </c>
      <c r="H15" s="9">
        <v>137</v>
      </c>
      <c r="I15" s="9">
        <v>14.441800000000001</v>
      </c>
      <c r="J15" s="9">
        <v>15.921900000000001</v>
      </c>
      <c r="K15" s="14">
        <v>14.6469</v>
      </c>
      <c r="L15" s="2">
        <f t="shared" si="3"/>
        <v>13.857171812715345</v>
      </c>
      <c r="M15" s="2">
        <f t="shared" si="4"/>
        <v>94.997560975609773</v>
      </c>
      <c r="N15" s="17">
        <f t="shared" si="5"/>
        <v>31.097560975609767</v>
      </c>
      <c r="O15" s="17">
        <f t="shared" si="0"/>
        <v>63.900000000000006</v>
      </c>
      <c r="Q15" s="9" t="s">
        <v>203</v>
      </c>
      <c r="R15" s="11">
        <v>6.18</v>
      </c>
      <c r="S15" s="11">
        <f t="shared" si="6"/>
        <v>4.1318999999999981</v>
      </c>
      <c r="T15" s="56">
        <v>16</v>
      </c>
      <c r="U15" s="14">
        <v>17.069500000000001</v>
      </c>
      <c r="V15" s="14">
        <v>21.2014</v>
      </c>
      <c r="W15" s="14">
        <v>17.283200000000001</v>
      </c>
      <c r="X15" s="2">
        <f t="shared" si="7"/>
        <v>5.1719547907742065</v>
      </c>
      <c r="Y15" s="2">
        <f t="shared" si="8"/>
        <v>96.542071197411005</v>
      </c>
      <c r="Z15" s="17">
        <f t="shared" si="9"/>
        <v>63.401294498381858</v>
      </c>
      <c r="AA15" s="17">
        <f t="shared" si="1"/>
        <v>33.140776699029146</v>
      </c>
    </row>
    <row r="16" spans="1:27" x14ac:dyDescent="0.3">
      <c r="A16"/>
      <c r="B16">
        <v>4</v>
      </c>
      <c r="F16" s="9">
        <v>2.98</v>
      </c>
      <c r="G16" s="9">
        <f t="shared" si="10"/>
        <v>0.9363000000000028</v>
      </c>
      <c r="H16" s="9">
        <v>580</v>
      </c>
      <c r="I16" s="9">
        <v>19.290099999999999</v>
      </c>
      <c r="J16" s="9">
        <v>20.226400000000002</v>
      </c>
      <c r="K16" s="14">
        <v>19.447099999999999</v>
      </c>
      <c r="L16" s="2">
        <f t="shared" si="3"/>
        <v>16.768129872903938</v>
      </c>
      <c r="M16" s="2">
        <f t="shared" si="4"/>
        <v>94.731543624161077</v>
      </c>
      <c r="N16" s="17">
        <f t="shared" si="5"/>
        <v>26.15100671140949</v>
      </c>
      <c r="O16" s="17">
        <f t="shared" si="0"/>
        <v>68.580536912751583</v>
      </c>
      <c r="Q16" s="9" t="s">
        <v>204</v>
      </c>
      <c r="R16" s="11">
        <v>9.5399999999999991</v>
      </c>
      <c r="S16" s="11">
        <f t="shared" si="6"/>
        <v>7.4586000000000006</v>
      </c>
      <c r="T16" s="56">
        <v>27</v>
      </c>
      <c r="U16" s="14">
        <v>14.385999999999999</v>
      </c>
      <c r="V16" s="14">
        <v>21.8446</v>
      </c>
      <c r="W16" s="14">
        <v>14.846399999999999</v>
      </c>
      <c r="X16" s="2">
        <f t="shared" si="7"/>
        <v>6.1727401925294272</v>
      </c>
      <c r="Y16" s="2">
        <f t="shared" si="8"/>
        <v>95.174004192872118</v>
      </c>
      <c r="Z16" s="17">
        <f t="shared" si="9"/>
        <v>73.356394129979051</v>
      </c>
      <c r="AA16" s="17">
        <f t="shared" si="1"/>
        <v>21.817610062893067</v>
      </c>
    </row>
    <row r="17" spans="1:27" x14ac:dyDescent="0.3">
      <c r="A17"/>
      <c r="B17">
        <v>5</v>
      </c>
      <c r="F17" s="9">
        <v>3.11</v>
      </c>
      <c r="G17" s="9">
        <f t="shared" si="10"/>
        <v>1.9985999999999997</v>
      </c>
      <c r="H17" s="9">
        <v>56</v>
      </c>
      <c r="I17" s="9">
        <v>27.781099999999999</v>
      </c>
      <c r="J17" s="9">
        <v>29.779699999999998</v>
      </c>
      <c r="K17" s="14">
        <v>27.978300000000001</v>
      </c>
      <c r="L17" s="2">
        <f t="shared" si="3"/>
        <v>9.866906834784464</v>
      </c>
      <c r="M17" s="2">
        <f t="shared" si="4"/>
        <v>93.659163987138186</v>
      </c>
      <c r="N17" s="17">
        <f t="shared" si="5"/>
        <v>57.922829581993497</v>
      </c>
      <c r="O17" s="17">
        <f t="shared" si="0"/>
        <v>35.736334405144689</v>
      </c>
      <c r="Q17" s="9" t="s">
        <v>58</v>
      </c>
      <c r="R17" s="11">
        <v>6.1</v>
      </c>
      <c r="S17" s="11">
        <f t="shared" si="6"/>
        <v>4.8961000000000006</v>
      </c>
      <c r="T17" s="56">
        <v>56</v>
      </c>
      <c r="U17" s="14">
        <v>27.6934</v>
      </c>
      <c r="V17" s="14">
        <v>32.589500000000001</v>
      </c>
      <c r="W17" s="14">
        <v>28.025300000000001</v>
      </c>
      <c r="X17" s="2">
        <f t="shared" si="7"/>
        <v>6.7788648107677734</v>
      </c>
      <c r="Y17" s="2">
        <f t="shared" si="8"/>
        <v>94.559016393442604</v>
      </c>
      <c r="Z17" s="17">
        <f t="shared" si="9"/>
        <v>74.82295081967213</v>
      </c>
      <c r="AA17" s="17">
        <f t="shared" si="1"/>
        <v>19.736065573770475</v>
      </c>
    </row>
    <row r="18" spans="1:27" x14ac:dyDescent="0.3">
      <c r="A18" t="s">
        <v>63</v>
      </c>
      <c r="B18" s="7">
        <v>1</v>
      </c>
      <c r="F18" s="9">
        <v>2.95</v>
      </c>
      <c r="G18" s="9">
        <f t="shared" si="10"/>
        <v>2.0996000000000006</v>
      </c>
      <c r="H18" s="9">
        <v>2</v>
      </c>
      <c r="I18" s="9">
        <v>12.566599999999999</v>
      </c>
      <c r="J18" s="9">
        <v>14.6662</v>
      </c>
      <c r="K18" s="14">
        <v>12.7081</v>
      </c>
      <c r="L18" s="2">
        <f t="shared" si="3"/>
        <v>6.7393789293198987</v>
      </c>
      <c r="M18" s="2">
        <f t="shared" si="4"/>
        <v>95.203389830508456</v>
      </c>
      <c r="N18" s="17">
        <f t="shared" si="5"/>
        <v>66.376271186440675</v>
      </c>
      <c r="O18" s="17">
        <f t="shared" si="0"/>
        <v>28.827118644067781</v>
      </c>
      <c r="Q18" s="9" t="s">
        <v>66</v>
      </c>
      <c r="R18" s="11">
        <v>6.54</v>
      </c>
      <c r="S18" s="11">
        <f t="shared" si="6"/>
        <v>5.4318999999999988</v>
      </c>
      <c r="T18" s="56">
        <v>67</v>
      </c>
      <c r="U18" s="14">
        <v>19.1099</v>
      </c>
      <c r="V18" s="14">
        <v>24.541799999999999</v>
      </c>
      <c r="W18" s="14">
        <v>19.474</v>
      </c>
      <c r="X18" s="2">
        <f t="shared" si="7"/>
        <v>6.7029952686905245</v>
      </c>
      <c r="Y18" s="2">
        <f t="shared" si="8"/>
        <v>94.432721712538211</v>
      </c>
      <c r="Z18" s="17">
        <f t="shared" si="9"/>
        <v>77.489296636085598</v>
      </c>
      <c r="AA18" s="17">
        <f t="shared" si="1"/>
        <v>16.943425076452613</v>
      </c>
    </row>
    <row r="19" spans="1:27" x14ac:dyDescent="0.3">
      <c r="A19"/>
      <c r="B19" s="9">
        <v>2</v>
      </c>
      <c r="F19" s="9">
        <v>3.61</v>
      </c>
      <c r="G19" s="9">
        <f t="shared" si="10"/>
        <v>2.3002000000000002</v>
      </c>
      <c r="H19" s="9">
        <v>29</v>
      </c>
      <c r="I19" s="9">
        <v>19.3855</v>
      </c>
      <c r="J19" s="9">
        <v>21.685700000000001</v>
      </c>
      <c r="K19" s="14">
        <v>19.577300000000001</v>
      </c>
      <c r="L19" s="2">
        <f t="shared" si="3"/>
        <v>8.3384053560560218</v>
      </c>
      <c r="M19" s="2">
        <f t="shared" si="4"/>
        <v>94.686980609418271</v>
      </c>
      <c r="N19" s="17">
        <f t="shared" si="5"/>
        <v>58.404432132963983</v>
      </c>
      <c r="O19" s="17">
        <f t="shared" si="0"/>
        <v>36.282548476454288</v>
      </c>
      <c r="Q19" s="9" t="s">
        <v>205</v>
      </c>
      <c r="R19" s="11">
        <v>3.85</v>
      </c>
      <c r="S19" s="11">
        <f t="shared" si="6"/>
        <v>1.815900000000001</v>
      </c>
      <c r="T19" s="56">
        <v>21</v>
      </c>
      <c r="U19" s="14">
        <v>15.1288</v>
      </c>
      <c r="V19" s="14">
        <v>16.944700000000001</v>
      </c>
      <c r="W19" s="14">
        <v>15.292899999999999</v>
      </c>
      <c r="X19" s="2">
        <f t="shared" si="7"/>
        <v>9.036841235750833</v>
      </c>
      <c r="Y19" s="2">
        <f t="shared" si="8"/>
        <v>95.737662337662357</v>
      </c>
      <c r="Z19" s="17">
        <f t="shared" si="9"/>
        <v>42.903896103896145</v>
      </c>
      <c r="AA19" s="17">
        <f t="shared" si="1"/>
        <v>52.833766233766212</v>
      </c>
    </row>
    <row r="20" spans="1:27" x14ac:dyDescent="0.3">
      <c r="A20"/>
      <c r="B20">
        <v>3</v>
      </c>
      <c r="F20" s="9">
        <v>4.9800000000000004</v>
      </c>
      <c r="G20" s="9">
        <f t="shared" si="10"/>
        <v>3.4684999999999988</v>
      </c>
      <c r="H20" s="9">
        <v>60</v>
      </c>
      <c r="I20" s="9">
        <v>15.3338</v>
      </c>
      <c r="J20" s="9">
        <v>18.802299999999999</v>
      </c>
      <c r="K20" s="14">
        <v>15.652200000000001</v>
      </c>
      <c r="L20" s="2">
        <f t="shared" si="3"/>
        <v>9.1797607034741411</v>
      </c>
      <c r="M20" s="2">
        <f t="shared" si="4"/>
        <v>93.606425702811237</v>
      </c>
      <c r="N20" s="17">
        <f t="shared" si="5"/>
        <v>63.255020080321245</v>
      </c>
      <c r="O20" s="17">
        <f t="shared" si="0"/>
        <v>30.351405622489992</v>
      </c>
      <c r="Q20" s="9" t="s">
        <v>206</v>
      </c>
      <c r="R20" s="11">
        <v>7.49</v>
      </c>
      <c r="S20" s="11">
        <f t="shared" si="6"/>
        <v>5.7176999999999989</v>
      </c>
      <c r="T20" s="56">
        <v>6</v>
      </c>
      <c r="U20" s="14">
        <v>15.2614</v>
      </c>
      <c r="V20" s="14">
        <v>20.979099999999999</v>
      </c>
      <c r="W20" s="14">
        <v>15.641999999999999</v>
      </c>
      <c r="X20" s="2">
        <f t="shared" si="7"/>
        <v>6.6565227276702075</v>
      </c>
      <c r="Y20" s="2">
        <f t="shared" si="8"/>
        <v>94.918558077436586</v>
      </c>
      <c r="Z20" s="17">
        <f t="shared" si="9"/>
        <v>71.256341789052058</v>
      </c>
      <c r="AA20" s="17">
        <f t="shared" si="1"/>
        <v>23.662216288384528</v>
      </c>
    </row>
    <row r="21" spans="1:27" x14ac:dyDescent="0.3">
      <c r="A21"/>
      <c r="B21">
        <v>4</v>
      </c>
      <c r="F21" s="9">
        <v>4</v>
      </c>
      <c r="G21" s="9">
        <f t="shared" si="10"/>
        <v>2.4673999999999996</v>
      </c>
      <c r="H21" s="9">
        <v>310</v>
      </c>
      <c r="I21" s="9">
        <v>12.7211</v>
      </c>
      <c r="J21" s="9">
        <v>15.188499999999999</v>
      </c>
      <c r="K21" s="14">
        <v>13.006</v>
      </c>
      <c r="L21" s="2">
        <f t="shared" si="3"/>
        <v>11.546567236767464</v>
      </c>
      <c r="M21" s="2">
        <f t="shared" si="4"/>
        <v>92.877499999999998</v>
      </c>
      <c r="N21" s="17">
        <f t="shared" si="5"/>
        <v>54.562499999999979</v>
      </c>
      <c r="O21" s="17">
        <f t="shared" si="0"/>
        <v>38.315000000000019</v>
      </c>
      <c r="Q21" s="9" t="s">
        <v>207</v>
      </c>
      <c r="R21" s="11">
        <v>7.53</v>
      </c>
      <c r="S21" s="11">
        <f t="shared" si="6"/>
        <v>4.5327999999999982</v>
      </c>
      <c r="T21" s="56">
        <v>20</v>
      </c>
      <c r="U21" s="14">
        <v>17.248200000000001</v>
      </c>
      <c r="V21" s="14">
        <v>21.780999999999999</v>
      </c>
      <c r="W21" s="14">
        <v>17.647400000000001</v>
      </c>
      <c r="X21" s="2">
        <f t="shared" si="7"/>
        <v>8.8069184609954245</v>
      </c>
      <c r="Y21" s="2">
        <f t="shared" si="8"/>
        <v>94.698539176626809</v>
      </c>
      <c r="Z21" s="17">
        <f t="shared" si="9"/>
        <v>54.895086321381115</v>
      </c>
      <c r="AA21" s="17">
        <f t="shared" si="1"/>
        <v>39.803452855245695</v>
      </c>
    </row>
    <row r="22" spans="1:27" x14ac:dyDescent="0.3">
      <c r="A22"/>
      <c r="B22">
        <v>5</v>
      </c>
      <c r="F22" s="9">
        <v>4.41</v>
      </c>
      <c r="G22" s="9">
        <f t="shared" si="10"/>
        <v>2.9425999999999988</v>
      </c>
      <c r="H22" s="9">
        <v>19</v>
      </c>
      <c r="I22" s="9">
        <v>16.9391</v>
      </c>
      <c r="J22" s="9">
        <v>19.881699999999999</v>
      </c>
      <c r="K22" s="14">
        <v>17.2775</v>
      </c>
      <c r="L22" s="2">
        <f t="shared" si="3"/>
        <v>11.500033983551967</v>
      </c>
      <c r="M22" s="2">
        <f t="shared" si="4"/>
        <v>92.326530612244895</v>
      </c>
      <c r="N22" s="17">
        <f t="shared" si="5"/>
        <v>59.052154195011298</v>
      </c>
      <c r="O22" s="17">
        <f t="shared" si="0"/>
        <v>33.274376417233597</v>
      </c>
      <c r="Q22" s="9" t="s">
        <v>208</v>
      </c>
      <c r="R22" s="11">
        <v>7.59</v>
      </c>
      <c r="S22" s="11">
        <f t="shared" si="6"/>
        <v>4.2204000000000015</v>
      </c>
      <c r="T22" s="56">
        <v>22</v>
      </c>
      <c r="U22" s="14">
        <v>14.885999999999999</v>
      </c>
      <c r="V22" s="14">
        <v>19.106400000000001</v>
      </c>
      <c r="W22" s="14">
        <v>15.188499999999999</v>
      </c>
      <c r="X22" s="2">
        <f t="shared" si="7"/>
        <v>7.1675670552554287</v>
      </c>
      <c r="Y22" s="2">
        <f t="shared" si="8"/>
        <v>96.014492753623188</v>
      </c>
      <c r="Z22" s="17">
        <f t="shared" si="9"/>
        <v>51.619235836627162</v>
      </c>
      <c r="AA22" s="17">
        <f t="shared" si="1"/>
        <v>44.395256916996026</v>
      </c>
    </row>
    <row r="23" spans="1:27" x14ac:dyDescent="0.3">
      <c r="A23" t="s">
        <v>64</v>
      </c>
      <c r="B23" s="7">
        <v>1</v>
      </c>
      <c r="F23" s="9">
        <v>7.2</v>
      </c>
      <c r="G23" s="9">
        <f t="shared" si="10"/>
        <v>1.939899999999998</v>
      </c>
      <c r="H23" s="9">
        <v>16</v>
      </c>
      <c r="I23" s="9">
        <v>17.060400000000001</v>
      </c>
      <c r="J23" s="9">
        <v>19.000299999999999</v>
      </c>
      <c r="K23" s="14">
        <v>17.3535</v>
      </c>
      <c r="L23" s="2">
        <f t="shared" si="3"/>
        <v>15.109026238465866</v>
      </c>
      <c r="M23" s="2">
        <f t="shared" si="4"/>
        <v>95.929166666666688</v>
      </c>
      <c r="N23" s="17">
        <f t="shared" si="5"/>
        <v>22.872222222222206</v>
      </c>
      <c r="O23" s="17">
        <f t="shared" si="0"/>
        <v>73.056944444444483</v>
      </c>
      <c r="Q23" s="9" t="s">
        <v>209</v>
      </c>
      <c r="R23" s="11">
        <v>5.45</v>
      </c>
      <c r="S23" s="11">
        <f t="shared" si="6"/>
        <v>3.224000000000002</v>
      </c>
      <c r="T23" s="56">
        <v>60</v>
      </c>
      <c r="U23" s="14">
        <v>15.3348</v>
      </c>
      <c r="V23" s="14">
        <v>18.558800000000002</v>
      </c>
      <c r="W23" s="14">
        <v>15.565899999999999</v>
      </c>
      <c r="X23" s="2">
        <f t="shared" si="7"/>
        <v>7.1681141439205796</v>
      </c>
      <c r="Y23" s="2">
        <f t="shared" si="8"/>
        <v>95.759633027522952</v>
      </c>
      <c r="Z23" s="17">
        <f t="shared" si="9"/>
        <v>54.915596330275271</v>
      </c>
      <c r="AA23" s="17">
        <f t="shared" si="1"/>
        <v>40.844036697247681</v>
      </c>
    </row>
    <row r="24" spans="1:27" x14ac:dyDescent="0.3">
      <c r="A24"/>
      <c r="B24" s="9">
        <v>2</v>
      </c>
      <c r="F24" s="9">
        <v>12.89</v>
      </c>
      <c r="G24" s="9">
        <f t="shared" si="10"/>
        <v>7.3956999999999979</v>
      </c>
      <c r="H24" s="9">
        <v>3</v>
      </c>
      <c r="I24" s="9">
        <v>18.979800000000001</v>
      </c>
      <c r="J24" s="9">
        <v>26.375499999999999</v>
      </c>
      <c r="K24" s="14">
        <v>19.627099999999999</v>
      </c>
      <c r="L24" s="2">
        <f t="shared" si="3"/>
        <v>8.7523831415551996</v>
      </c>
      <c r="M24" s="2">
        <f t="shared" si="4"/>
        <v>94.978277734678059</v>
      </c>
      <c r="N24" s="17">
        <f t="shared" si="5"/>
        <v>52.353762606671836</v>
      </c>
      <c r="O24" s="17">
        <f t="shared" si="0"/>
        <v>42.624515128006223</v>
      </c>
      <c r="Q24" s="9" t="s">
        <v>210</v>
      </c>
      <c r="R24" s="11">
        <v>7.36</v>
      </c>
      <c r="S24" s="11">
        <f t="shared" si="6"/>
        <v>5.3595000000000006</v>
      </c>
      <c r="T24" s="56">
        <v>9</v>
      </c>
      <c r="U24" s="14">
        <v>13.0215</v>
      </c>
      <c r="V24" s="14">
        <v>18.381</v>
      </c>
      <c r="W24" s="14">
        <v>13.3119</v>
      </c>
      <c r="X24" s="2">
        <f t="shared" si="7"/>
        <v>5.4184158970053167</v>
      </c>
      <c r="Y24" s="2">
        <f t="shared" si="8"/>
        <v>96.054347826086953</v>
      </c>
      <c r="Z24" s="17">
        <f t="shared" si="9"/>
        <v>68.873641304347828</v>
      </c>
      <c r="AA24" s="17">
        <f t="shared" si="1"/>
        <v>27.180706521739125</v>
      </c>
    </row>
    <row r="25" spans="1:27" x14ac:dyDescent="0.3">
      <c r="A25"/>
      <c r="B25">
        <v>3</v>
      </c>
      <c r="F25" s="9">
        <v>13.06</v>
      </c>
      <c r="G25" s="9">
        <f t="shared" si="10"/>
        <v>7.1945000000000014</v>
      </c>
      <c r="H25" s="9">
        <v>7</v>
      </c>
      <c r="I25" s="9">
        <v>19.0733</v>
      </c>
      <c r="J25" s="9">
        <v>26.267800000000001</v>
      </c>
      <c r="K25" s="14">
        <v>19.870699999999999</v>
      </c>
      <c r="L25" s="2">
        <f t="shared" si="3"/>
        <v>11.083466536937932</v>
      </c>
      <c r="M25" s="2">
        <f t="shared" si="4"/>
        <v>93.894333843797853</v>
      </c>
      <c r="N25" s="17">
        <f t="shared" si="5"/>
        <v>48.982388973966316</v>
      </c>
      <c r="O25" s="17">
        <f t="shared" si="0"/>
        <v>44.911944869831537</v>
      </c>
      <c r="Q25" s="9" t="s">
        <v>211</v>
      </c>
      <c r="R25" s="11">
        <v>6.21</v>
      </c>
      <c r="S25" s="11">
        <f t="shared" si="6"/>
        <v>4.6601999999999997</v>
      </c>
      <c r="T25" s="56">
        <v>4</v>
      </c>
      <c r="U25" s="14">
        <v>15.134399999999999</v>
      </c>
      <c r="V25" s="14">
        <v>19.794599999999999</v>
      </c>
      <c r="W25" s="14">
        <v>15.3558</v>
      </c>
      <c r="X25" s="2">
        <f t="shared" si="7"/>
        <v>4.7508690614136935</v>
      </c>
      <c r="Y25" s="2">
        <f t="shared" si="8"/>
        <v>96.434782608695642</v>
      </c>
      <c r="Z25" s="17">
        <f t="shared" si="9"/>
        <v>71.478260869565204</v>
      </c>
      <c r="AA25" s="17">
        <f t="shared" si="1"/>
        <v>24.956521739130437</v>
      </c>
    </row>
    <row r="26" spans="1:27" x14ac:dyDescent="0.3">
      <c r="A26"/>
      <c r="B26">
        <v>4</v>
      </c>
      <c r="F26" s="9">
        <v>12.85</v>
      </c>
      <c r="G26" s="9">
        <f t="shared" si="10"/>
        <v>6.8821999999999992</v>
      </c>
      <c r="H26" s="9">
        <v>120</v>
      </c>
      <c r="I26" s="9">
        <v>15.26</v>
      </c>
      <c r="J26" s="9">
        <v>22.142199999999999</v>
      </c>
      <c r="K26" s="14">
        <v>16.065999999999999</v>
      </c>
      <c r="L26" s="2">
        <f t="shared" si="3"/>
        <v>11.711371363808073</v>
      </c>
      <c r="M26" s="2">
        <f t="shared" si="4"/>
        <v>93.727626459143977</v>
      </c>
      <c r="N26" s="17">
        <f t="shared" si="5"/>
        <v>47.285603112840469</v>
      </c>
      <c r="O26" s="17">
        <f t="shared" si="0"/>
        <v>46.442023346303507</v>
      </c>
      <c r="Q26" s="9" t="s">
        <v>212</v>
      </c>
      <c r="R26" s="11">
        <v>2.83</v>
      </c>
      <c r="S26" s="11">
        <f t="shared" si="6"/>
        <v>1.305299999999999</v>
      </c>
      <c r="T26" s="56">
        <v>12</v>
      </c>
      <c r="U26" s="14">
        <v>20.366900000000001</v>
      </c>
      <c r="V26" s="14">
        <v>21.6722</v>
      </c>
      <c r="W26" s="14">
        <v>20.446999999999999</v>
      </c>
      <c r="X26" s="2">
        <f t="shared" si="7"/>
        <v>6.1365203401515451</v>
      </c>
      <c r="Y26" s="2">
        <f t="shared" si="8"/>
        <v>97.169611307420553</v>
      </c>
      <c r="Z26" s="17">
        <f t="shared" si="9"/>
        <v>43.293286219081303</v>
      </c>
      <c r="AA26" s="17">
        <f t="shared" si="1"/>
        <v>53.87632508833925</v>
      </c>
    </row>
    <row r="27" spans="1:27" x14ac:dyDescent="0.3">
      <c r="A27"/>
      <c r="B27">
        <v>5</v>
      </c>
      <c r="F27" s="9">
        <v>18.68</v>
      </c>
      <c r="G27" s="9">
        <f t="shared" si="10"/>
        <v>12.209800000000001</v>
      </c>
      <c r="H27" s="9">
        <v>17</v>
      </c>
      <c r="I27" s="9">
        <v>18.950099999999999</v>
      </c>
      <c r="J27" s="9">
        <v>31.1599</v>
      </c>
      <c r="K27" s="14">
        <v>20.334199999999999</v>
      </c>
      <c r="L27" s="2">
        <f t="shared" si="3"/>
        <v>11.335976019263216</v>
      </c>
      <c r="M27" s="2">
        <f t="shared" si="4"/>
        <v>92.590471092077081</v>
      </c>
      <c r="N27" s="17">
        <f t="shared" si="5"/>
        <v>57.953426124197009</v>
      </c>
      <c r="O27" s="17">
        <f t="shared" si="0"/>
        <v>34.637044967880072</v>
      </c>
    </row>
    <row r="28" spans="1:27" x14ac:dyDescent="0.3">
      <c r="A28" t="s">
        <v>67</v>
      </c>
      <c r="B28" s="7">
        <v>1</v>
      </c>
      <c r="F28" s="9">
        <v>9.7799999999999994</v>
      </c>
      <c r="G28" s="9">
        <f t="shared" si="10"/>
        <v>5.7576000000000001</v>
      </c>
      <c r="H28" s="9">
        <v>18</v>
      </c>
      <c r="I28" s="9">
        <v>14.446400000000001</v>
      </c>
      <c r="J28" s="9">
        <v>20.204000000000001</v>
      </c>
      <c r="K28" s="14">
        <v>14.880699999999999</v>
      </c>
      <c r="L28" s="2">
        <f t="shared" si="3"/>
        <v>7.543073502848384</v>
      </c>
      <c r="M28" s="2">
        <f t="shared" si="4"/>
        <v>95.559304703476499</v>
      </c>
      <c r="N28" s="17">
        <f t="shared" si="5"/>
        <v>54.430470347648281</v>
      </c>
      <c r="O28" s="17">
        <f t="shared" si="0"/>
        <v>41.128834355828218</v>
      </c>
      <c r="P28" s="12"/>
    </row>
    <row r="29" spans="1:27" x14ac:dyDescent="0.3">
      <c r="A29"/>
      <c r="B29" s="9">
        <v>2</v>
      </c>
      <c r="F29" s="9">
        <v>7.94</v>
      </c>
      <c r="G29" s="9">
        <f t="shared" si="10"/>
        <v>3.1786000000000012</v>
      </c>
      <c r="H29" s="9">
        <v>6</v>
      </c>
      <c r="I29" s="9">
        <v>15.312099999999999</v>
      </c>
      <c r="J29" s="9">
        <v>18.4907</v>
      </c>
      <c r="K29" s="14">
        <v>15.6655</v>
      </c>
      <c r="L29" s="2">
        <f t="shared" si="3"/>
        <v>11.118102309192741</v>
      </c>
      <c r="M29" s="2">
        <f t="shared" si="4"/>
        <v>95.549118387909317</v>
      </c>
      <c r="N29" s="17">
        <f t="shared" si="5"/>
        <v>35.581863979848869</v>
      </c>
      <c r="O29" s="17">
        <f t="shared" si="0"/>
        <v>59.967254408060448</v>
      </c>
      <c r="P29" s="12"/>
    </row>
    <row r="30" spans="1:27" x14ac:dyDescent="0.3">
      <c r="A30"/>
      <c r="B30">
        <v>3</v>
      </c>
      <c r="F30" s="9">
        <v>5.9</v>
      </c>
      <c r="G30" s="9">
        <f t="shared" si="10"/>
        <v>3.2660999999999998</v>
      </c>
      <c r="H30" s="9">
        <v>43</v>
      </c>
      <c r="I30" s="9">
        <v>15.9991</v>
      </c>
      <c r="J30" s="9">
        <v>19.2652</v>
      </c>
      <c r="K30" s="14">
        <v>16.315100000000001</v>
      </c>
      <c r="L30" s="2">
        <f t="shared" si="3"/>
        <v>9.6751477297082378</v>
      </c>
      <c r="M30" s="2">
        <f t="shared" si="4"/>
        <v>94.644067796610159</v>
      </c>
      <c r="N30" s="17">
        <f t="shared" si="5"/>
        <v>50.001694915254213</v>
      </c>
      <c r="O30" s="17">
        <f t="shared" si="0"/>
        <v>44.642372881355946</v>
      </c>
      <c r="P30" s="12"/>
    </row>
    <row r="31" spans="1:27" x14ac:dyDescent="0.3">
      <c r="A31"/>
      <c r="B31">
        <v>4</v>
      </c>
      <c r="F31" s="9">
        <v>8.9499999999999993</v>
      </c>
      <c r="G31" s="9">
        <f t="shared" si="10"/>
        <v>3.7119</v>
      </c>
      <c r="H31" s="9">
        <v>4</v>
      </c>
      <c r="I31" s="9">
        <v>16.513400000000001</v>
      </c>
      <c r="J31" s="9">
        <v>20.225300000000001</v>
      </c>
      <c r="K31" s="14">
        <v>16.965199999999999</v>
      </c>
      <c r="L31" s="2">
        <f t="shared" si="3"/>
        <v>12.171664107330441</v>
      </c>
      <c r="M31" s="2">
        <f t="shared" si="4"/>
        <v>94.95195530726258</v>
      </c>
      <c r="N31" s="17">
        <f t="shared" si="5"/>
        <v>36.425698324022363</v>
      </c>
      <c r="O31" s="17">
        <f t="shared" si="0"/>
        <v>58.526256983240216</v>
      </c>
      <c r="P31" s="12"/>
    </row>
    <row r="32" spans="1:27" x14ac:dyDescent="0.3">
      <c r="A32"/>
      <c r="B32">
        <v>5</v>
      </c>
      <c r="F32" s="9">
        <v>7.09</v>
      </c>
      <c r="G32" s="9">
        <f t="shared" si="10"/>
        <v>4.1822999999999997</v>
      </c>
      <c r="H32" s="9">
        <v>20</v>
      </c>
      <c r="I32" s="9">
        <v>14.8896</v>
      </c>
      <c r="J32" s="9">
        <v>19.071899999999999</v>
      </c>
      <c r="K32" s="14">
        <v>15.323700000000001</v>
      </c>
      <c r="L32" s="2">
        <f t="shared" si="3"/>
        <v>10.379456280037321</v>
      </c>
      <c r="M32" s="2">
        <f t="shared" si="4"/>
        <v>93.877291960507748</v>
      </c>
      <c r="N32" s="17">
        <f t="shared" si="5"/>
        <v>52.866008462623398</v>
      </c>
      <c r="O32" s="17">
        <f t="shared" si="0"/>
        <v>41.011283497884349</v>
      </c>
      <c r="P32" s="12"/>
    </row>
    <row r="33" spans="11:11" x14ac:dyDescent="0.3">
      <c r="K33" s="14"/>
    </row>
    <row r="34" spans="11:11" x14ac:dyDescent="0.3">
      <c r="K34" s="14"/>
    </row>
    <row r="35" spans="11:11" x14ac:dyDescent="0.3">
      <c r="K35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ECD4-1FAB-47D4-BD02-F72F0EAB71EE}">
  <dimension ref="A1:X38"/>
  <sheetViews>
    <sheetView zoomScaleNormal="100" workbookViewId="0">
      <selection activeCell="K2" sqref="K2:M31"/>
    </sheetView>
  </sheetViews>
  <sheetFormatPr defaultRowHeight="14.4" x14ac:dyDescent="0.3"/>
  <cols>
    <col min="1" max="4" width="8.88671875" style="9"/>
    <col min="5" max="5" width="8.88671875" style="80"/>
    <col min="6" max="7" width="8.88671875" style="9"/>
    <col min="8" max="8" width="8.88671875" style="80"/>
    <col min="9" max="16384" width="8.88671875" style="9"/>
  </cols>
  <sheetData>
    <row r="1" spans="1:24" x14ac:dyDescent="0.3">
      <c r="A1" s="9" t="s">
        <v>75</v>
      </c>
      <c r="B1" s="9" t="s">
        <v>56</v>
      </c>
      <c r="C1" s="9" t="s">
        <v>161</v>
      </c>
      <c r="E1" s="80" t="s">
        <v>249</v>
      </c>
      <c r="F1" s="9" t="s">
        <v>162</v>
      </c>
      <c r="I1" s="9" t="s">
        <v>250</v>
      </c>
    </row>
    <row r="2" spans="1:24" ht="15.6" x14ac:dyDescent="0.3">
      <c r="A2" t="s">
        <v>65</v>
      </c>
      <c r="B2" s="7">
        <v>1</v>
      </c>
      <c r="C2" s="9">
        <v>10.62</v>
      </c>
      <c r="D2" s="9">
        <v>10.61</v>
      </c>
      <c r="E2" s="81">
        <f>AVERAGE(C2:D2)</f>
        <v>10.614999999999998</v>
      </c>
      <c r="F2" s="9">
        <v>8.2899999999999991</v>
      </c>
      <c r="G2" s="9">
        <v>8.35</v>
      </c>
      <c r="H2" s="81">
        <f>AVERAGE(F2:G2)</f>
        <v>8.32</v>
      </c>
      <c r="I2" s="12">
        <f>100-(H2*100/E2)</f>
        <v>21.62034856335373</v>
      </c>
      <c r="K2" s="81"/>
      <c r="L2" s="81"/>
      <c r="M2" s="12"/>
      <c r="T2" s="10"/>
      <c r="U2" s="10"/>
      <c r="V2" s="10"/>
      <c r="W2" s="5"/>
      <c r="X2" s="11"/>
    </row>
    <row r="3" spans="1:24" ht="15.6" x14ac:dyDescent="0.3">
      <c r="A3"/>
      <c r="B3" s="9">
        <v>2</v>
      </c>
      <c r="C3" s="9">
        <v>13.25</v>
      </c>
      <c r="D3" s="9">
        <v>11.48</v>
      </c>
      <c r="E3" s="81">
        <f t="shared" ref="E3:E31" si="0">AVERAGE(C3:D3)</f>
        <v>12.365</v>
      </c>
      <c r="F3" s="9">
        <v>11.27</v>
      </c>
      <c r="G3" s="9">
        <v>9.7899999999999991</v>
      </c>
      <c r="H3" s="81">
        <f t="shared" ref="H3:H31" si="1">AVERAGE(F3:G3)</f>
        <v>10.53</v>
      </c>
      <c r="I3" s="12">
        <f t="shared" ref="I3:I31" si="2">100-(H3*100/E3)</f>
        <v>14.840274969672464</v>
      </c>
      <c r="K3" s="81"/>
      <c r="L3" s="81"/>
      <c r="M3" s="12"/>
      <c r="T3" s="10"/>
      <c r="U3" s="10"/>
      <c r="V3" s="10"/>
      <c r="W3" s="5"/>
      <c r="X3" s="11"/>
    </row>
    <row r="4" spans="1:24" ht="15.6" x14ac:dyDescent="0.3">
      <c r="A4"/>
      <c r="B4">
        <v>3</v>
      </c>
      <c r="C4" s="9">
        <v>10.37</v>
      </c>
      <c r="D4" s="9">
        <v>12.01</v>
      </c>
      <c r="E4" s="81">
        <f t="shared" si="0"/>
        <v>11.19</v>
      </c>
      <c r="F4" s="9">
        <v>9.1</v>
      </c>
      <c r="G4" s="9">
        <v>9.7200000000000006</v>
      </c>
      <c r="H4" s="81">
        <f t="shared" si="1"/>
        <v>9.41</v>
      </c>
      <c r="I4" s="12">
        <f t="shared" si="2"/>
        <v>15.90705987488829</v>
      </c>
      <c r="K4" s="81"/>
      <c r="L4" s="81"/>
      <c r="M4" s="12"/>
      <c r="T4" s="10"/>
      <c r="U4" s="10"/>
      <c r="V4" s="10"/>
      <c r="W4" s="5"/>
      <c r="X4" s="11"/>
    </row>
    <row r="5" spans="1:24" ht="15.6" x14ac:dyDescent="0.3">
      <c r="A5"/>
      <c r="B5">
        <v>4</v>
      </c>
      <c r="C5" s="9">
        <v>11.9</v>
      </c>
      <c r="D5" s="9">
        <v>10.7</v>
      </c>
      <c r="E5" s="81">
        <f t="shared" si="0"/>
        <v>11.3</v>
      </c>
      <c r="F5" s="9">
        <v>9.6300000000000008</v>
      </c>
      <c r="G5" s="9">
        <v>10.119999999999999</v>
      </c>
      <c r="H5" s="81">
        <f t="shared" si="1"/>
        <v>9.875</v>
      </c>
      <c r="I5" s="12">
        <f t="shared" si="2"/>
        <v>12.61061946902656</v>
      </c>
      <c r="K5" s="81"/>
      <c r="L5" s="81"/>
      <c r="M5" s="12"/>
      <c r="T5" s="10"/>
      <c r="U5" s="10"/>
      <c r="V5" s="10"/>
      <c r="W5" s="5"/>
      <c r="X5" s="11"/>
    </row>
    <row r="6" spans="1:24" ht="15.6" x14ac:dyDescent="0.3">
      <c r="A6"/>
      <c r="B6">
        <v>5</v>
      </c>
      <c r="C6" s="9">
        <v>11.58</v>
      </c>
      <c r="D6" s="9">
        <v>12.95</v>
      </c>
      <c r="E6" s="81">
        <f t="shared" si="0"/>
        <v>12.265000000000001</v>
      </c>
      <c r="F6" s="9">
        <v>9.85</v>
      </c>
      <c r="G6" s="9">
        <v>11.02</v>
      </c>
      <c r="H6" s="81">
        <f t="shared" si="1"/>
        <v>10.434999999999999</v>
      </c>
      <c r="I6" s="12">
        <f t="shared" si="2"/>
        <v>14.920505503465165</v>
      </c>
      <c r="K6" s="81"/>
      <c r="L6" s="81"/>
      <c r="M6" s="12"/>
      <c r="T6" s="10"/>
      <c r="U6" s="10"/>
      <c r="V6" s="10"/>
      <c r="W6" s="5"/>
      <c r="X6" s="11"/>
    </row>
    <row r="7" spans="1:24" ht="15.6" x14ac:dyDescent="0.3">
      <c r="A7" t="s">
        <v>66</v>
      </c>
      <c r="B7" s="7">
        <v>1</v>
      </c>
      <c r="C7" s="9">
        <v>11.73</v>
      </c>
      <c r="D7" s="9">
        <v>10.88</v>
      </c>
      <c r="E7" s="81">
        <f t="shared" si="0"/>
        <v>11.305</v>
      </c>
      <c r="F7" s="9">
        <v>10.88</v>
      </c>
      <c r="G7" s="9">
        <v>10.01</v>
      </c>
      <c r="H7" s="81">
        <f t="shared" si="1"/>
        <v>10.445</v>
      </c>
      <c r="I7" s="12">
        <f t="shared" si="2"/>
        <v>7.6072534276868566</v>
      </c>
      <c r="K7" s="81"/>
      <c r="L7" s="81"/>
      <c r="M7" s="12"/>
      <c r="T7" s="13"/>
      <c r="U7" s="13"/>
      <c r="V7" s="13"/>
      <c r="W7" s="5"/>
      <c r="X7" s="11"/>
    </row>
    <row r="8" spans="1:24" ht="15.6" x14ac:dyDescent="0.3">
      <c r="A8"/>
      <c r="B8" s="9">
        <v>2</v>
      </c>
      <c r="C8" s="9">
        <v>10.28</v>
      </c>
      <c r="D8" s="9">
        <v>11.09</v>
      </c>
      <c r="E8" s="81">
        <f t="shared" si="0"/>
        <v>10.684999999999999</v>
      </c>
      <c r="F8" s="9">
        <v>9.66</v>
      </c>
      <c r="G8" s="9">
        <v>10.43</v>
      </c>
      <c r="H8" s="81">
        <f t="shared" si="1"/>
        <v>10.045</v>
      </c>
      <c r="I8" s="12">
        <f t="shared" si="2"/>
        <v>5.9897051941974553</v>
      </c>
      <c r="K8" s="81"/>
      <c r="L8" s="81"/>
      <c r="M8" s="12"/>
      <c r="T8" s="10"/>
      <c r="U8" s="10"/>
      <c r="V8" s="10"/>
      <c r="W8" s="5"/>
      <c r="X8" s="11"/>
    </row>
    <row r="9" spans="1:24" ht="15.6" x14ac:dyDescent="0.3">
      <c r="A9"/>
      <c r="B9">
        <v>3</v>
      </c>
      <c r="C9" s="9">
        <v>15.29</v>
      </c>
      <c r="D9" s="9">
        <v>14.4</v>
      </c>
      <c r="E9" s="81">
        <f t="shared" si="0"/>
        <v>14.844999999999999</v>
      </c>
      <c r="F9" s="9">
        <v>14.19</v>
      </c>
      <c r="G9" s="9">
        <v>13.53</v>
      </c>
      <c r="H9" s="81">
        <f t="shared" si="1"/>
        <v>13.86</v>
      </c>
      <c r="I9" s="12">
        <f t="shared" si="2"/>
        <v>6.6352307174132648</v>
      </c>
      <c r="K9" s="81"/>
      <c r="L9" s="81"/>
      <c r="M9" s="12"/>
      <c r="T9" s="10"/>
      <c r="U9" s="10"/>
      <c r="V9" s="10"/>
      <c r="W9" s="5"/>
      <c r="X9" s="11"/>
    </row>
    <row r="10" spans="1:24" ht="15.6" x14ac:dyDescent="0.3">
      <c r="A10"/>
      <c r="B10">
        <v>4</v>
      </c>
      <c r="C10" s="9">
        <v>14.67</v>
      </c>
      <c r="D10" s="9">
        <v>15.15</v>
      </c>
      <c r="E10" s="81">
        <f t="shared" si="0"/>
        <v>14.91</v>
      </c>
      <c r="F10" s="9">
        <v>14.78</v>
      </c>
      <c r="G10" s="9">
        <v>14.25</v>
      </c>
      <c r="H10" s="81">
        <f t="shared" si="1"/>
        <v>14.515000000000001</v>
      </c>
      <c r="I10" s="12">
        <f t="shared" si="2"/>
        <v>2.6492287055667276</v>
      </c>
      <c r="K10" s="81"/>
      <c r="L10" s="81"/>
      <c r="M10" s="12"/>
      <c r="T10" s="10"/>
      <c r="U10" s="10"/>
      <c r="V10" s="10"/>
      <c r="W10" s="5"/>
      <c r="X10" s="11"/>
    </row>
    <row r="11" spans="1:24" ht="15.6" x14ac:dyDescent="0.3">
      <c r="A11"/>
      <c r="B11">
        <v>5</v>
      </c>
      <c r="C11" s="9">
        <v>14.12</v>
      </c>
      <c r="D11" s="9">
        <v>21.65</v>
      </c>
      <c r="E11" s="81">
        <f t="shared" si="0"/>
        <v>17.884999999999998</v>
      </c>
      <c r="F11" s="9">
        <v>13.49</v>
      </c>
      <c r="G11" s="9">
        <v>20.67</v>
      </c>
      <c r="H11" s="81">
        <f t="shared" si="1"/>
        <v>17.080000000000002</v>
      </c>
      <c r="I11" s="12">
        <f t="shared" si="2"/>
        <v>4.5009784735811849</v>
      </c>
      <c r="K11" s="81"/>
      <c r="L11" s="81"/>
      <c r="M11" s="12"/>
      <c r="T11" s="10"/>
      <c r="U11" s="10"/>
      <c r="V11" s="10"/>
      <c r="W11" s="5"/>
      <c r="X11" s="11"/>
    </row>
    <row r="12" spans="1:24" ht="15.6" x14ac:dyDescent="0.3">
      <c r="A12" s="1" t="s">
        <v>58</v>
      </c>
      <c r="B12" s="7">
        <v>1</v>
      </c>
      <c r="C12" s="9">
        <v>18.25</v>
      </c>
      <c r="D12" s="9">
        <v>17.2</v>
      </c>
      <c r="E12" s="81">
        <f t="shared" si="0"/>
        <v>17.725000000000001</v>
      </c>
      <c r="F12" s="9">
        <v>17.63</v>
      </c>
      <c r="G12" s="9">
        <v>16.39</v>
      </c>
      <c r="H12" s="81">
        <f t="shared" si="1"/>
        <v>17.009999999999998</v>
      </c>
      <c r="I12" s="12">
        <f t="shared" si="2"/>
        <v>4.0338504936530484</v>
      </c>
      <c r="K12" s="81"/>
      <c r="L12" s="81"/>
      <c r="M12" s="12"/>
      <c r="T12" s="10"/>
      <c r="U12" s="10"/>
      <c r="V12" s="10"/>
      <c r="W12" s="5"/>
      <c r="X12" s="11"/>
    </row>
    <row r="13" spans="1:24" ht="15.6" x14ac:dyDescent="0.3">
      <c r="A13" s="1"/>
      <c r="B13" s="9">
        <v>2</v>
      </c>
      <c r="C13" s="9">
        <v>15.6</v>
      </c>
      <c r="D13" s="9">
        <v>14.94</v>
      </c>
      <c r="E13" s="81">
        <f t="shared" si="0"/>
        <v>15.27</v>
      </c>
      <c r="F13" s="9">
        <v>14.93</v>
      </c>
      <c r="G13" s="9">
        <v>14.29</v>
      </c>
      <c r="H13" s="81">
        <f t="shared" si="1"/>
        <v>14.61</v>
      </c>
      <c r="I13" s="12">
        <f t="shared" si="2"/>
        <v>4.3222003929273001</v>
      </c>
      <c r="K13" s="81"/>
      <c r="L13" s="81"/>
      <c r="M13" s="12"/>
      <c r="T13" s="13"/>
      <c r="U13" s="13"/>
      <c r="V13" s="13"/>
      <c r="W13" s="5"/>
      <c r="X13" s="11"/>
    </row>
    <row r="14" spans="1:24" ht="15.6" x14ac:dyDescent="0.3">
      <c r="A14" s="1"/>
      <c r="B14">
        <v>3</v>
      </c>
      <c r="C14" s="9">
        <v>16.28</v>
      </c>
      <c r="D14" s="9">
        <v>15.52</v>
      </c>
      <c r="E14" s="81">
        <f t="shared" si="0"/>
        <v>15.9</v>
      </c>
      <c r="F14" s="9">
        <v>14.75</v>
      </c>
      <c r="G14" s="9">
        <v>15.49</v>
      </c>
      <c r="H14" s="81">
        <f t="shared" si="1"/>
        <v>15.120000000000001</v>
      </c>
      <c r="I14" s="12">
        <f t="shared" si="2"/>
        <v>4.9056603773584868</v>
      </c>
      <c r="K14" s="81"/>
      <c r="L14" s="81"/>
      <c r="M14" s="12"/>
      <c r="T14" s="10"/>
      <c r="U14" s="15"/>
      <c r="V14" s="10"/>
      <c r="W14" s="5"/>
      <c r="X14" s="11"/>
    </row>
    <row r="15" spans="1:24" ht="15.6" x14ac:dyDescent="0.3">
      <c r="A15"/>
      <c r="B15">
        <v>4</v>
      </c>
      <c r="C15" s="9">
        <v>13.71</v>
      </c>
      <c r="D15" s="9">
        <v>17.149999999999999</v>
      </c>
      <c r="E15" s="81">
        <f t="shared" si="0"/>
        <v>15.43</v>
      </c>
      <c r="F15" s="9">
        <v>13.11</v>
      </c>
      <c r="G15" s="9">
        <v>16.399999999999999</v>
      </c>
      <c r="H15" s="81">
        <f t="shared" si="1"/>
        <v>14.754999999999999</v>
      </c>
      <c r="I15" s="12">
        <f t="shared" si="2"/>
        <v>4.3745949449125021</v>
      </c>
      <c r="K15" s="81"/>
      <c r="L15" s="81"/>
      <c r="M15" s="12"/>
      <c r="T15" s="10"/>
      <c r="U15" s="15"/>
      <c r="V15" s="10"/>
      <c r="W15" s="5"/>
      <c r="X15" s="11"/>
    </row>
    <row r="16" spans="1:24" ht="15.6" x14ac:dyDescent="0.3">
      <c r="A16"/>
      <c r="B16">
        <v>5</v>
      </c>
      <c r="C16" s="9">
        <v>18.02</v>
      </c>
      <c r="D16" s="9">
        <v>17.260000000000002</v>
      </c>
      <c r="E16" s="81">
        <f t="shared" si="0"/>
        <v>17.64</v>
      </c>
      <c r="F16" s="9">
        <v>17.190000000000001</v>
      </c>
      <c r="G16" s="9">
        <v>16.86</v>
      </c>
      <c r="H16" s="81">
        <f t="shared" si="1"/>
        <v>17.024999999999999</v>
      </c>
      <c r="I16" s="12">
        <f t="shared" si="2"/>
        <v>3.4863945578231466</v>
      </c>
      <c r="K16" s="81"/>
      <c r="L16" s="81"/>
      <c r="M16" s="12"/>
      <c r="T16" s="10"/>
      <c r="U16" s="15"/>
      <c r="V16" s="10"/>
      <c r="W16" s="5"/>
      <c r="X16" s="11"/>
    </row>
    <row r="17" spans="1:24" ht="15.6" x14ac:dyDescent="0.3">
      <c r="A17" t="s">
        <v>63</v>
      </c>
      <c r="B17" s="7">
        <v>1</v>
      </c>
      <c r="C17" s="9">
        <v>20.079999999999998</v>
      </c>
      <c r="D17" s="9">
        <v>19.71</v>
      </c>
      <c r="E17" s="81">
        <f t="shared" si="0"/>
        <v>19.895</v>
      </c>
      <c r="F17" s="9">
        <v>18.97</v>
      </c>
      <c r="G17" s="9">
        <v>19.03</v>
      </c>
      <c r="H17" s="81">
        <f t="shared" si="1"/>
        <v>19</v>
      </c>
      <c r="I17" s="12">
        <f t="shared" si="2"/>
        <v>4.4986177431515415</v>
      </c>
      <c r="K17" s="81"/>
      <c r="L17" s="81"/>
      <c r="M17" s="12"/>
      <c r="U17" s="15"/>
      <c r="V17" s="16"/>
      <c r="W17" s="5"/>
      <c r="X17" s="11"/>
    </row>
    <row r="18" spans="1:24" ht="15.6" x14ac:dyDescent="0.3">
      <c r="A18"/>
      <c r="B18" s="9">
        <v>2</v>
      </c>
      <c r="C18" s="9">
        <v>25.61</v>
      </c>
      <c r="D18" s="9">
        <v>21.62</v>
      </c>
      <c r="E18" s="81">
        <f t="shared" si="0"/>
        <v>23.615000000000002</v>
      </c>
      <c r="F18" s="9">
        <v>18.78</v>
      </c>
      <c r="G18" s="9">
        <v>21.19</v>
      </c>
      <c r="H18" s="81">
        <f t="shared" si="1"/>
        <v>19.984999999999999</v>
      </c>
      <c r="I18" s="12">
        <f t="shared" si="2"/>
        <v>15.371585856447183</v>
      </c>
      <c r="K18" s="81"/>
      <c r="L18" s="81"/>
      <c r="M18" s="12"/>
      <c r="U18" s="15"/>
      <c r="V18" s="16"/>
      <c r="W18" s="5"/>
      <c r="X18" s="11"/>
    </row>
    <row r="19" spans="1:24" ht="15.6" x14ac:dyDescent="0.3">
      <c r="A19"/>
      <c r="B19">
        <v>3</v>
      </c>
      <c r="C19" s="9">
        <v>22.49</v>
      </c>
      <c r="D19" s="9">
        <v>23.01</v>
      </c>
      <c r="E19" s="81">
        <f t="shared" si="0"/>
        <v>22.75</v>
      </c>
      <c r="F19" s="9">
        <v>21.46</v>
      </c>
      <c r="G19" s="9">
        <v>22.53</v>
      </c>
      <c r="H19" s="81">
        <f t="shared" si="1"/>
        <v>21.995000000000001</v>
      </c>
      <c r="I19" s="12">
        <f t="shared" si="2"/>
        <v>3.318681318681314</v>
      </c>
      <c r="K19" s="81"/>
      <c r="L19" s="81"/>
      <c r="M19" s="12"/>
      <c r="U19" s="10"/>
      <c r="V19" s="16"/>
    </row>
    <row r="20" spans="1:24" x14ac:dyDescent="0.3">
      <c r="A20"/>
      <c r="B20">
        <v>4</v>
      </c>
      <c r="C20" s="9">
        <v>20.51</v>
      </c>
      <c r="D20" s="9">
        <v>21.83</v>
      </c>
      <c r="E20" s="81">
        <f t="shared" si="0"/>
        <v>21.17</v>
      </c>
      <c r="F20" s="9">
        <v>19.84</v>
      </c>
      <c r="G20" s="9">
        <v>21.3</v>
      </c>
      <c r="H20" s="81">
        <f t="shared" si="1"/>
        <v>20.57</v>
      </c>
      <c r="I20" s="12">
        <f t="shared" si="2"/>
        <v>2.8341993386868296</v>
      </c>
      <c r="K20" s="81"/>
      <c r="L20" s="81"/>
      <c r="M20" s="12"/>
      <c r="V20" s="5"/>
    </row>
    <row r="21" spans="1:24" x14ac:dyDescent="0.3">
      <c r="A21"/>
      <c r="B21">
        <v>5</v>
      </c>
      <c r="C21" s="9">
        <v>22.82</v>
      </c>
      <c r="D21" s="9">
        <v>20.36</v>
      </c>
      <c r="E21" s="81">
        <f t="shared" si="0"/>
        <v>21.59</v>
      </c>
      <c r="F21" s="9">
        <v>22.09</v>
      </c>
      <c r="G21" s="9">
        <v>19.489999999999998</v>
      </c>
      <c r="H21" s="81">
        <f t="shared" si="1"/>
        <v>20.79</v>
      </c>
      <c r="I21" s="12">
        <f t="shared" si="2"/>
        <v>3.7054191755442361</v>
      </c>
      <c r="K21" s="81"/>
      <c r="L21" s="81"/>
      <c r="M21" s="12"/>
    </row>
    <row r="22" spans="1:24" x14ac:dyDescent="0.3">
      <c r="A22" t="s">
        <v>64</v>
      </c>
      <c r="B22" s="7">
        <v>1</v>
      </c>
      <c r="C22" s="9">
        <v>17.79</v>
      </c>
      <c r="D22" s="9">
        <v>30.73</v>
      </c>
      <c r="E22" s="81">
        <f t="shared" si="0"/>
        <v>24.259999999999998</v>
      </c>
      <c r="F22" s="9">
        <v>16.63</v>
      </c>
      <c r="G22" s="9">
        <v>29.75</v>
      </c>
      <c r="H22" s="81">
        <f t="shared" si="1"/>
        <v>23.189999999999998</v>
      </c>
      <c r="I22" s="12">
        <f t="shared" si="2"/>
        <v>4.4105523495465775</v>
      </c>
      <c r="K22" s="81"/>
      <c r="L22" s="81"/>
      <c r="M22" s="12"/>
    </row>
    <row r="23" spans="1:24" x14ac:dyDescent="0.3">
      <c r="A23"/>
      <c r="B23" s="9">
        <v>2</v>
      </c>
      <c r="C23" s="9">
        <v>22.78</v>
      </c>
      <c r="D23" s="9">
        <v>24.86</v>
      </c>
      <c r="E23" s="81">
        <f t="shared" si="0"/>
        <v>23.82</v>
      </c>
      <c r="F23" s="9">
        <v>21.94</v>
      </c>
      <c r="G23" s="9">
        <v>23.83</v>
      </c>
      <c r="H23" s="81">
        <f t="shared" si="1"/>
        <v>22.884999999999998</v>
      </c>
      <c r="I23" s="12">
        <f t="shared" si="2"/>
        <v>3.9252728799328338</v>
      </c>
      <c r="K23" s="81"/>
      <c r="L23" s="81"/>
      <c r="M23" s="12"/>
    </row>
    <row r="24" spans="1:24" x14ac:dyDescent="0.3">
      <c r="A24"/>
      <c r="B24">
        <v>3</v>
      </c>
      <c r="C24" s="9">
        <v>32.6</v>
      </c>
      <c r="D24" s="9">
        <v>24.42</v>
      </c>
      <c r="E24" s="81">
        <f t="shared" si="0"/>
        <v>28.51</v>
      </c>
      <c r="F24" s="9">
        <v>31.38</v>
      </c>
      <c r="G24" s="9">
        <v>23.36</v>
      </c>
      <c r="H24" s="81">
        <f t="shared" si="1"/>
        <v>27.369999999999997</v>
      </c>
      <c r="I24" s="12">
        <f t="shared" si="2"/>
        <v>3.9985969835145738</v>
      </c>
      <c r="K24" s="81"/>
      <c r="L24" s="81"/>
      <c r="M24" s="12"/>
    </row>
    <row r="25" spans="1:24" x14ac:dyDescent="0.3">
      <c r="A25"/>
      <c r="B25">
        <v>4</v>
      </c>
      <c r="C25" s="9">
        <v>27.81</v>
      </c>
      <c r="D25" s="9">
        <v>28.54</v>
      </c>
      <c r="E25" s="81">
        <f t="shared" si="0"/>
        <v>28.174999999999997</v>
      </c>
      <c r="F25" s="9">
        <v>26.1</v>
      </c>
      <c r="G25" s="9">
        <v>27.67</v>
      </c>
      <c r="H25" s="81">
        <f t="shared" si="1"/>
        <v>26.885000000000002</v>
      </c>
      <c r="I25" s="12">
        <f t="shared" si="2"/>
        <v>4.5785270629991004</v>
      </c>
      <c r="K25" s="81"/>
      <c r="L25" s="81"/>
      <c r="M25" s="12"/>
    </row>
    <row r="26" spans="1:24" x14ac:dyDescent="0.3">
      <c r="A26"/>
      <c r="B26">
        <v>5</v>
      </c>
      <c r="C26" s="9">
        <v>29.18</v>
      </c>
      <c r="D26" s="9">
        <v>33.770000000000003</v>
      </c>
      <c r="E26" s="81">
        <f t="shared" si="0"/>
        <v>31.475000000000001</v>
      </c>
      <c r="F26" s="9">
        <v>28.16</v>
      </c>
      <c r="G26" s="9">
        <v>32.93</v>
      </c>
      <c r="H26" s="81">
        <f t="shared" si="1"/>
        <v>30.545000000000002</v>
      </c>
      <c r="I26" s="12">
        <f t="shared" si="2"/>
        <v>2.9547259729944386</v>
      </c>
      <c r="K26" s="81"/>
      <c r="L26" s="81"/>
      <c r="M26" s="12"/>
    </row>
    <row r="27" spans="1:24" x14ac:dyDescent="0.3">
      <c r="A27" t="s">
        <v>67</v>
      </c>
      <c r="B27" s="7">
        <v>1</v>
      </c>
      <c r="C27" s="9">
        <v>19.690000000000001</v>
      </c>
      <c r="D27" s="9">
        <v>21.17</v>
      </c>
      <c r="E27" s="81">
        <f t="shared" si="0"/>
        <v>20.43</v>
      </c>
      <c r="F27" s="9">
        <v>18.55</v>
      </c>
      <c r="G27" s="9">
        <v>20.67</v>
      </c>
      <c r="H27" s="81">
        <f t="shared" si="1"/>
        <v>19.61</v>
      </c>
      <c r="I27" s="12">
        <f t="shared" si="2"/>
        <v>4.0137053352912346</v>
      </c>
      <c r="K27" s="81"/>
      <c r="L27" s="81"/>
      <c r="M27" s="12"/>
    </row>
    <row r="28" spans="1:24" x14ac:dyDescent="0.3">
      <c r="A28"/>
      <c r="B28" s="9">
        <v>2</v>
      </c>
      <c r="C28" s="9">
        <v>23.45</v>
      </c>
      <c r="D28" s="9">
        <v>21.36</v>
      </c>
      <c r="E28" s="81">
        <f t="shared" si="0"/>
        <v>22.405000000000001</v>
      </c>
      <c r="F28" s="9">
        <v>16.32</v>
      </c>
      <c r="G28" s="9">
        <v>18.579999999999998</v>
      </c>
      <c r="H28" s="81">
        <f t="shared" si="1"/>
        <v>17.45</v>
      </c>
      <c r="I28" s="12">
        <f t="shared" si="2"/>
        <v>22.115599196607903</v>
      </c>
      <c r="K28" s="81"/>
      <c r="L28" s="81"/>
      <c r="M28" s="12"/>
    </row>
    <row r="29" spans="1:24" x14ac:dyDescent="0.3">
      <c r="A29"/>
      <c r="B29">
        <v>3</v>
      </c>
      <c r="C29" s="9">
        <v>19.100000000000001</v>
      </c>
      <c r="D29" s="9">
        <v>25.35</v>
      </c>
      <c r="E29" s="81">
        <f t="shared" si="0"/>
        <v>22.225000000000001</v>
      </c>
      <c r="F29" s="9">
        <v>10.050000000000001</v>
      </c>
      <c r="G29" s="9">
        <v>21.03</v>
      </c>
      <c r="H29" s="81">
        <f t="shared" si="1"/>
        <v>15.540000000000001</v>
      </c>
      <c r="I29" s="12">
        <f t="shared" si="2"/>
        <v>30.078740157480325</v>
      </c>
      <c r="K29" s="81"/>
      <c r="L29" s="81"/>
      <c r="M29" s="12"/>
    </row>
    <row r="30" spans="1:24" x14ac:dyDescent="0.3">
      <c r="A30"/>
      <c r="B30">
        <v>4</v>
      </c>
      <c r="C30" s="9">
        <v>22.05</v>
      </c>
      <c r="D30" s="9">
        <v>21.31</v>
      </c>
      <c r="E30" s="81">
        <f t="shared" si="0"/>
        <v>21.68</v>
      </c>
      <c r="F30" s="9">
        <v>20.68</v>
      </c>
      <c r="G30" s="9">
        <v>20.149999999999999</v>
      </c>
      <c r="H30" s="81">
        <f t="shared" si="1"/>
        <v>20.414999999999999</v>
      </c>
      <c r="I30" s="12">
        <f t="shared" si="2"/>
        <v>5.8348708487084906</v>
      </c>
      <c r="K30" s="81"/>
      <c r="L30" s="81"/>
      <c r="M30" s="12"/>
    </row>
    <row r="31" spans="1:24" x14ac:dyDescent="0.3">
      <c r="A31"/>
      <c r="B31">
        <v>5</v>
      </c>
      <c r="C31" s="9">
        <v>24.92</v>
      </c>
      <c r="D31" s="9">
        <v>22.34</v>
      </c>
      <c r="E31" s="81">
        <f t="shared" si="0"/>
        <v>23.630000000000003</v>
      </c>
      <c r="F31" s="9">
        <v>19.829999999999998</v>
      </c>
      <c r="G31" s="9">
        <v>21.41</v>
      </c>
      <c r="H31" s="81">
        <f t="shared" si="1"/>
        <v>20.619999999999997</v>
      </c>
      <c r="I31" s="12">
        <f t="shared" si="2"/>
        <v>12.738044858231092</v>
      </c>
      <c r="K31" s="81"/>
      <c r="L31" s="81"/>
      <c r="M31" s="12"/>
    </row>
    <row r="32" spans="1:24" x14ac:dyDescent="0.3">
      <c r="I32" s="12"/>
    </row>
    <row r="33" spans="9:9" x14ac:dyDescent="0.3">
      <c r="I33" s="12"/>
    </row>
    <row r="34" spans="9:9" x14ac:dyDescent="0.3">
      <c r="I34" s="12"/>
    </row>
    <row r="35" spans="9:9" x14ac:dyDescent="0.3">
      <c r="I35" s="12"/>
    </row>
    <row r="36" spans="9:9" x14ac:dyDescent="0.3">
      <c r="I36" s="12"/>
    </row>
    <row r="37" spans="9:9" x14ac:dyDescent="0.3">
      <c r="I37" s="12"/>
    </row>
    <row r="38" spans="9:9" x14ac:dyDescent="0.3">
      <c r="I38" s="1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83D2-760C-4E31-BFC4-BF370A4343FC}">
  <dimension ref="A1:G31"/>
  <sheetViews>
    <sheetView topLeftCell="D1" zoomScale="70" zoomScaleNormal="70" workbookViewId="0">
      <selection activeCell="E31" sqref="E31"/>
    </sheetView>
  </sheetViews>
  <sheetFormatPr defaultRowHeight="14.4" x14ac:dyDescent="0.3"/>
  <cols>
    <col min="3" max="3" width="26" bestFit="1" customWidth="1"/>
    <col min="4" max="4" width="121.88671875" style="18" bestFit="1" customWidth="1"/>
  </cols>
  <sheetData>
    <row r="1" spans="1:7" x14ac:dyDescent="0.3">
      <c r="A1" s="9" t="s">
        <v>75</v>
      </c>
      <c r="B1" s="9" t="s">
        <v>56</v>
      </c>
      <c r="C1" t="s">
        <v>130</v>
      </c>
      <c r="D1" s="18" t="s">
        <v>131</v>
      </c>
      <c r="F1" t="s">
        <v>75</v>
      </c>
      <c r="G1" t="s">
        <v>222</v>
      </c>
    </row>
    <row r="2" spans="1:7" x14ac:dyDescent="0.3">
      <c r="A2" t="s">
        <v>65</v>
      </c>
      <c r="B2" s="7">
        <v>1</v>
      </c>
      <c r="C2" t="s">
        <v>87</v>
      </c>
      <c r="D2" s="18" t="s">
        <v>163</v>
      </c>
      <c r="F2" t="s">
        <v>193</v>
      </c>
      <c r="G2" t="s">
        <v>133</v>
      </c>
    </row>
    <row r="3" spans="1:7" x14ac:dyDescent="0.3">
      <c r="B3" s="9">
        <v>2</v>
      </c>
      <c r="C3" t="s">
        <v>133</v>
      </c>
      <c r="D3" s="18" t="s">
        <v>164</v>
      </c>
      <c r="F3" t="s">
        <v>64</v>
      </c>
      <c r="G3" t="s">
        <v>134</v>
      </c>
    </row>
    <row r="4" spans="1:7" x14ac:dyDescent="0.3">
      <c r="B4">
        <v>3</v>
      </c>
      <c r="C4" t="s">
        <v>140</v>
      </c>
      <c r="D4" s="18" t="s">
        <v>165</v>
      </c>
      <c r="F4" t="s">
        <v>63</v>
      </c>
      <c r="G4" t="s">
        <v>133</v>
      </c>
    </row>
    <row r="5" spans="1:7" x14ac:dyDescent="0.3">
      <c r="B5">
        <v>4</v>
      </c>
      <c r="C5" t="s">
        <v>141</v>
      </c>
      <c r="D5" s="18" t="s">
        <v>166</v>
      </c>
      <c r="F5" t="s">
        <v>194</v>
      </c>
      <c r="G5" t="s">
        <v>134</v>
      </c>
    </row>
    <row r="6" spans="1:7" x14ac:dyDescent="0.3">
      <c r="B6">
        <v>5</v>
      </c>
      <c r="C6" t="s">
        <v>141</v>
      </c>
      <c r="D6" s="18" t="s">
        <v>167</v>
      </c>
      <c r="F6" t="s">
        <v>195</v>
      </c>
      <c r="G6" t="s">
        <v>133</v>
      </c>
    </row>
    <row r="7" spans="1:7" x14ac:dyDescent="0.3">
      <c r="A7" t="s">
        <v>66</v>
      </c>
      <c r="B7" s="7">
        <v>1</v>
      </c>
      <c r="D7" s="18" t="s">
        <v>168</v>
      </c>
      <c r="F7" t="s">
        <v>196</v>
      </c>
      <c r="G7" t="s">
        <v>134</v>
      </c>
    </row>
    <row r="8" spans="1:7" x14ac:dyDescent="0.3">
      <c r="B8" s="9">
        <v>2</v>
      </c>
      <c r="C8" t="s">
        <v>140</v>
      </c>
      <c r="D8" s="18" t="s">
        <v>169</v>
      </c>
      <c r="F8" t="s">
        <v>67</v>
      </c>
      <c r="G8" t="s">
        <v>223</v>
      </c>
    </row>
    <row r="9" spans="1:7" x14ac:dyDescent="0.3">
      <c r="B9">
        <v>3</v>
      </c>
      <c r="C9" t="s">
        <v>157</v>
      </c>
      <c r="D9" s="18" t="s">
        <v>170</v>
      </c>
      <c r="F9" t="s">
        <v>197</v>
      </c>
      <c r="G9" t="s">
        <v>223</v>
      </c>
    </row>
    <row r="10" spans="1:7" x14ac:dyDescent="0.3">
      <c r="B10">
        <v>4</v>
      </c>
      <c r="C10" t="s">
        <v>140</v>
      </c>
      <c r="D10" s="18" t="s">
        <v>171</v>
      </c>
      <c r="F10" t="s">
        <v>198</v>
      </c>
      <c r="G10" t="s">
        <v>133</v>
      </c>
    </row>
    <row r="11" spans="1:7" x14ac:dyDescent="0.3">
      <c r="B11">
        <v>5</v>
      </c>
      <c r="C11" t="s">
        <v>140</v>
      </c>
      <c r="D11" s="18" t="s">
        <v>172</v>
      </c>
      <c r="F11" t="s">
        <v>199</v>
      </c>
      <c r="G11" t="s">
        <v>133</v>
      </c>
    </row>
    <row r="12" spans="1:7" x14ac:dyDescent="0.3">
      <c r="A12" s="1" t="s">
        <v>58</v>
      </c>
      <c r="B12" s="7">
        <v>1</v>
      </c>
      <c r="D12" s="18" t="s">
        <v>173</v>
      </c>
      <c r="F12" t="s">
        <v>200</v>
      </c>
      <c r="G12" t="s">
        <v>224</v>
      </c>
    </row>
    <row r="13" spans="1:7" x14ac:dyDescent="0.3">
      <c r="A13" s="1"/>
      <c r="B13" s="9">
        <v>2</v>
      </c>
      <c r="C13" t="s">
        <v>158</v>
      </c>
      <c r="D13" s="18" t="s">
        <v>174</v>
      </c>
      <c r="F13" t="s">
        <v>201</v>
      </c>
      <c r="G13" t="s">
        <v>133</v>
      </c>
    </row>
    <row r="14" spans="1:7" x14ac:dyDescent="0.3">
      <c r="A14" s="1"/>
      <c r="B14">
        <v>3</v>
      </c>
      <c r="C14" t="s">
        <v>141</v>
      </c>
      <c r="D14" s="18" t="s">
        <v>178</v>
      </c>
      <c r="F14" t="s">
        <v>202</v>
      </c>
      <c r="G14" t="s">
        <v>133</v>
      </c>
    </row>
    <row r="15" spans="1:7" x14ac:dyDescent="0.3">
      <c r="B15">
        <v>4</v>
      </c>
      <c r="C15" t="s">
        <v>158</v>
      </c>
      <c r="D15" s="18" t="s">
        <v>179</v>
      </c>
      <c r="F15" t="s">
        <v>203</v>
      </c>
    </row>
    <row r="16" spans="1:7" x14ac:dyDescent="0.3">
      <c r="B16">
        <v>5</v>
      </c>
      <c r="C16" t="s">
        <v>158</v>
      </c>
      <c r="D16" s="18" t="s">
        <v>175</v>
      </c>
      <c r="F16" t="s">
        <v>204</v>
      </c>
      <c r="G16" t="s">
        <v>133</v>
      </c>
    </row>
    <row r="17" spans="1:7" x14ac:dyDescent="0.3">
      <c r="A17" t="s">
        <v>63</v>
      </c>
      <c r="B17" s="7">
        <v>1</v>
      </c>
      <c r="C17" t="s">
        <v>133</v>
      </c>
      <c r="D17" s="18" t="s">
        <v>177</v>
      </c>
      <c r="F17" t="s">
        <v>58</v>
      </c>
    </row>
    <row r="18" spans="1:7" x14ac:dyDescent="0.3">
      <c r="B18" s="9">
        <v>2</v>
      </c>
      <c r="C18" t="s">
        <v>134</v>
      </c>
      <c r="D18" s="18" t="s">
        <v>182</v>
      </c>
      <c r="F18" t="s">
        <v>66</v>
      </c>
      <c r="G18" t="s">
        <v>133</v>
      </c>
    </row>
    <row r="19" spans="1:7" x14ac:dyDescent="0.3">
      <c r="B19">
        <v>3</v>
      </c>
      <c r="C19" t="s">
        <v>134</v>
      </c>
      <c r="D19" s="18" t="s">
        <v>180</v>
      </c>
      <c r="F19" t="s">
        <v>205</v>
      </c>
      <c r="G19" t="s">
        <v>133</v>
      </c>
    </row>
    <row r="20" spans="1:7" x14ac:dyDescent="0.3">
      <c r="B20">
        <v>4</v>
      </c>
      <c r="C20" t="s">
        <v>135</v>
      </c>
      <c r="D20" s="18" t="s">
        <v>181</v>
      </c>
      <c r="F20" t="s">
        <v>206</v>
      </c>
      <c r="G20" t="s">
        <v>134</v>
      </c>
    </row>
    <row r="21" spans="1:7" x14ac:dyDescent="0.3">
      <c r="B21">
        <v>5</v>
      </c>
      <c r="C21" t="s">
        <v>136</v>
      </c>
      <c r="D21" s="18" t="s">
        <v>176</v>
      </c>
      <c r="F21" t="s">
        <v>207</v>
      </c>
    </row>
    <row r="22" spans="1:7" x14ac:dyDescent="0.3">
      <c r="A22" t="s">
        <v>64</v>
      </c>
      <c r="B22" s="7">
        <v>1</v>
      </c>
      <c r="C22" t="s">
        <v>137</v>
      </c>
      <c r="D22" s="18" t="s">
        <v>183</v>
      </c>
      <c r="F22" t="s">
        <v>208</v>
      </c>
      <c r="G22" t="s">
        <v>134</v>
      </c>
    </row>
    <row r="23" spans="1:7" x14ac:dyDescent="0.3">
      <c r="B23" s="9">
        <v>2</v>
      </c>
      <c r="C23" t="s">
        <v>138</v>
      </c>
      <c r="D23" s="18" t="s">
        <v>184</v>
      </c>
      <c r="F23" t="s">
        <v>209</v>
      </c>
      <c r="G23" t="s">
        <v>223</v>
      </c>
    </row>
    <row r="24" spans="1:7" x14ac:dyDescent="0.3">
      <c r="B24">
        <v>3</v>
      </c>
      <c r="C24" t="s">
        <v>133</v>
      </c>
      <c r="D24" s="18" t="s">
        <v>185</v>
      </c>
      <c r="F24" t="s">
        <v>210</v>
      </c>
      <c r="G24" t="s">
        <v>134</v>
      </c>
    </row>
    <row r="25" spans="1:7" x14ac:dyDescent="0.3">
      <c r="B25">
        <v>4</v>
      </c>
      <c r="C25" t="s">
        <v>133</v>
      </c>
      <c r="D25" s="18" t="s">
        <v>186</v>
      </c>
      <c r="F25" t="s">
        <v>211</v>
      </c>
      <c r="G25" t="s">
        <v>223</v>
      </c>
    </row>
    <row r="26" spans="1:7" x14ac:dyDescent="0.3">
      <c r="B26">
        <v>5</v>
      </c>
      <c r="C26" t="s">
        <v>133</v>
      </c>
      <c r="D26" s="18" t="s">
        <v>187</v>
      </c>
      <c r="F26" t="s">
        <v>212</v>
      </c>
    </row>
    <row r="27" spans="1:7" x14ac:dyDescent="0.3">
      <c r="A27" t="s">
        <v>67</v>
      </c>
      <c r="B27" s="7">
        <v>1</v>
      </c>
      <c r="C27" t="s">
        <v>140</v>
      </c>
      <c r="D27" s="18" t="s">
        <v>188</v>
      </c>
    </row>
    <row r="28" spans="1:7" x14ac:dyDescent="0.3">
      <c r="B28" s="9">
        <v>2</v>
      </c>
      <c r="C28" t="s">
        <v>140</v>
      </c>
      <c r="D28" s="18" t="s">
        <v>189</v>
      </c>
    </row>
    <row r="29" spans="1:7" x14ac:dyDescent="0.3">
      <c r="B29">
        <v>3</v>
      </c>
      <c r="C29" t="s">
        <v>141</v>
      </c>
      <c r="D29" s="18" t="s">
        <v>190</v>
      </c>
    </row>
    <row r="30" spans="1:7" x14ac:dyDescent="0.3">
      <c r="B30">
        <v>4</v>
      </c>
      <c r="C30" t="s">
        <v>142</v>
      </c>
      <c r="D30" s="18" t="s">
        <v>191</v>
      </c>
    </row>
    <row r="31" spans="1:7" x14ac:dyDescent="0.3">
      <c r="B31">
        <v>5</v>
      </c>
      <c r="C31" t="s">
        <v>142</v>
      </c>
      <c r="D31" s="1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хлорофиллметр</vt:lpstr>
      <vt:lpstr>пит р-р+ээ</vt:lpstr>
      <vt:lpstr>фенология</vt:lpstr>
      <vt:lpstr>биометрия</vt:lpstr>
      <vt:lpstr>биохимия</vt:lpstr>
      <vt:lpstr>асс пл</vt:lpstr>
      <vt:lpstr>сух в-во</vt:lpstr>
      <vt:lpstr>водный деф</vt:lpstr>
      <vt:lpstr>водоудерж способ</vt:lpstr>
      <vt:lpstr>хранение</vt:lpstr>
      <vt:lpstr>органолептика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</dc:creator>
  <cp:lastModifiedBy>Виталий</cp:lastModifiedBy>
  <dcterms:created xsi:type="dcterms:W3CDTF">2015-06-05T18:19:34Z</dcterms:created>
  <dcterms:modified xsi:type="dcterms:W3CDTF">2026-05-27T10:45:45Z</dcterms:modified>
</cp:coreProperties>
</file>